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ITRO 5\Desktop\EXCEL TUTORIAL\PROJECT\Project 1\"/>
    </mc:Choice>
  </mc:AlternateContent>
  <xr:revisionPtr revIDLastSave="0" documentId="13_ncr:1_{B179B1C4-52FA-4242-A8B0-149BAE843AFA}"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Data" sheetId="4" r:id="rId2"/>
    <sheet name="Sheet1" sheetId="5" state="hidden" r:id="rId3"/>
    <sheet name="Pivot Table" sheetId="3" r:id="rId4"/>
    <sheet name="Dashboard" sheetId="2" r:id="rId5"/>
  </sheets>
  <definedNames>
    <definedName name="_xlnm._FilterDatabase" localSheetId="0" hidden="1">Bike_Buyers!$A$1:$M$1001</definedName>
    <definedName name="_xlnm._FilterDatabase" localSheetId="1" hidden="1">Data!$A$1:$N$1001</definedName>
    <definedName name="Slicer_Education">#N/A</definedName>
    <definedName name="Slicer_Marital_Status1">#N/A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<sst xmlns="http://schemas.openxmlformats.org/spreadsheetml/2006/main" count="16297" uniqueCount="51">
  <si>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</si>
  <si>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</si>
  <si>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</si>
  <si>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</si>
  <si>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</si>
  <si>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</si>
  <si>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</si>
  <si>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</si>
  <si>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</si>
  <si>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</si>
  <si>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</si>
  <si>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</si>
  <si>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</si>
  <si>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</si>
  <si>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</si>
  <si>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</si>
  <si>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</si>
  <si>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</si>
  <si>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</si>
  <si>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</si>
  <si>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</si>
  <si>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</si>
  <si>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</si>
  <si>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</si>
  <si>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</si>
  <si>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</si>
  <si>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</si>
  <si>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</si>
  <si>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</si>
  <si>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</si>
  <si>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</si>
  <si>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</si>
  <si>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</si>
  <si>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</si>
  <si>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</si>
  <si>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</si>
  <si>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</si>
  <si>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</si>
  <si>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</si>
  <si>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</si>
  <si>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 xml:space="preserve">Age Bracket </t>
  </si>
  <si>
    <t>Row Labels</t>
  </si>
  <si>
    <t>Grand Total</t>
  </si>
  <si>
    <t>Average of Income</t>
  </si>
  <si>
    <t>Column Labels</t>
  </si>
  <si>
    <t>Middle Aged</t>
  </si>
  <si>
    <t>Old</t>
  </si>
  <si>
    <t>Count of Purchased Bike</t>
  </si>
  <si>
    <t>More than 10 miles</t>
  </si>
  <si>
    <r>
      <rPr>
        <b/>
        <sz val="48"/>
        <color theme="0"/>
        <rFont val="Calibri"/>
        <family val="2"/>
        <scheme val="minor"/>
      </rPr>
      <t>Bike Sales Dashboard</t>
    </r>
    <r>
      <rPr>
        <sz val="48"/>
        <color theme="0"/>
        <rFont val="Calibri"/>
        <family val="2"/>
        <scheme val="minor"/>
      </rPr>
      <t xml:space="preserve"> </t>
    </r>
  </si>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</sst>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166"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&amp;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53440</c:v>
                </c:pt>
                <c:pt idx="1">
                  <c:v>56208.178438661707</c:v>
                </c:pt>
              </c:numCache>
            </c:numRef>
          </c:val>
          <c:extLst>
            <c:ext xmlns:c16="http://schemas.microsoft.com/office/drawing/2014/chart" uri="{C3380CC4-5D6E-409C-BE32-E72D297353CC}">
              <c16:uniqueId val="{00000000-D0BC-4455-AF1E-3F6427549FC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55774.058577405856</c:v>
                </c:pt>
                <c:pt idx="1">
                  <c:v>60123.966942148763</c:v>
                </c:pt>
              </c:numCache>
            </c:numRef>
          </c:val>
          <c:extLst>
            <c:ext xmlns:c16="http://schemas.microsoft.com/office/drawing/2014/chart" uri="{C3380CC4-5D6E-409C-BE32-E72D297353CC}">
              <c16:uniqueId val="{00000001-D0BC-4455-AF1E-3F6427549FCD}"/>
            </c:ext>
          </c:extLst>
        </c:ser>
        <c:dLbls>
          <c:showLegendKey val="0"/>
          <c:showVal val="0"/>
          <c:showCatName val="0"/>
          <c:showSerName val="0"/>
          <c:showPercent val="0"/>
          <c:showBubbleSize val="0"/>
        </c:dLbls>
        <c:gapWidth val="219"/>
        <c:overlap val="-27"/>
        <c:axId val="1479836576"/>
        <c:axId val="1479837408"/>
      </c:barChart>
      <c:catAx>
        <c:axId val="147983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37408"/>
        <c:crosses val="autoZero"/>
        <c:auto val="1"/>
        <c:lblAlgn val="ctr"/>
        <c:lblOffset val="100"/>
        <c:noMultiLvlLbl val="0"/>
      </c:catAx>
      <c:valAx>
        <c:axId val="147983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36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&amp;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a:t>
            </a:r>
            <a:r>
              <a:rPr lang="en-MY" baseline="0"/>
              <a:t> Commute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F15-4D7D-B146-0B523A3D05A8}"/>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F15-4D7D-B146-0B523A3D05A8}"/>
            </c:ext>
          </c:extLst>
        </c:ser>
        <c:dLbls>
          <c:showLegendKey val="0"/>
          <c:showVal val="0"/>
          <c:showCatName val="0"/>
          <c:showSerName val="0"/>
          <c:showPercent val="0"/>
          <c:showBubbleSize val="0"/>
        </c:dLbls>
        <c:smooth val="0"/>
        <c:axId val="1671443568"/>
        <c:axId val="1671443152"/>
      </c:lineChart>
      <c:catAx>
        <c:axId val="167144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43152"/>
        <c:crosses val="autoZero"/>
        <c:auto val="1"/>
        <c:lblAlgn val="ctr"/>
        <c:lblOffset val="100"/>
        <c:noMultiLvlLbl val="0"/>
      </c:catAx>
      <c:valAx>
        <c:axId val="167144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4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&amp;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Aged</c:v>
                </c:pt>
                <c:pt idx="2">
                  <c:v>Old</c:v>
                </c:pt>
              </c:strCache>
            </c:strRef>
          </c:cat>
          <c:val>
            <c:numRef>
              <c:f>'Pivot Table'!$B$42:$B$45</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52B4-4A10-B445-5DE32C9EA53C}"/>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Aged</c:v>
                </c:pt>
                <c:pt idx="2">
                  <c:v>Old</c:v>
                </c:pt>
              </c:strCache>
            </c:strRef>
          </c:cat>
          <c:val>
            <c:numRef>
              <c:f>'Pivot Table'!$C$42:$C$45</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52B4-4A10-B445-5DE32C9EA53C}"/>
            </c:ext>
          </c:extLst>
        </c:ser>
        <c:dLbls>
          <c:showLegendKey val="0"/>
          <c:showVal val="0"/>
          <c:showCatName val="0"/>
          <c:showSerName val="0"/>
          <c:showPercent val="0"/>
          <c:showBubbleSize val="0"/>
        </c:dLbls>
        <c:marker val="1"/>
        <c:smooth val="0"/>
        <c:axId val="1671442320"/>
        <c:axId val="1671441072"/>
      </c:lineChart>
      <c:catAx>
        <c:axId val="16714423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41072"/>
        <c:crosses val="autoZero"/>
        <c:auto val="1"/>
        <c:lblAlgn val="ctr"/>
        <c:lblOffset val="100"/>
        <c:noMultiLvlLbl val="0"/>
      </c:catAx>
      <c:valAx>
        <c:axId val="167144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4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&amp; Dashboard.xlsx]Pivot Table!PivotTable4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none"/>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Table'!$B$61:$B$114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DE63-41F8-8CC7-DB3855E59E36}"/>
            </c:ext>
          </c:extLst>
        </c:ser>
        <c:ser>
          <c:idx val="1"/>
          <c:order val="1"/>
          <c:tx>
            <c:strRef>
              <c:f>'Pivot Table'!$C$59:$C$60</c:f>
              <c:strCache>
                <c:ptCount val="1"/>
                <c:pt idx="0">
                  <c:v>Yes</c:v>
                </c:pt>
              </c:strCache>
            </c:strRef>
          </c:tx>
          <c:spPr>
            <a:ln w="28575" cap="rnd">
              <a:solidFill>
                <a:schemeClr val="accent2"/>
              </a:solidFill>
              <a:round/>
            </a:ln>
            <a:effectLst/>
          </c:spPr>
          <c:marker>
            <c:symbol val="none"/>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Table'!$C$61:$C$114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DE63-41F8-8CC7-DB3855E59E36}"/>
            </c:ext>
          </c:extLst>
        </c:ser>
        <c:dLbls>
          <c:showLegendKey val="0"/>
          <c:showVal val="0"/>
          <c:showCatName val="0"/>
          <c:showSerName val="0"/>
          <c:showPercent val="0"/>
          <c:showBubbleSize val="0"/>
        </c:dLbls>
        <c:smooth val="0"/>
        <c:axId val="1752762416"/>
        <c:axId val="1752775312"/>
      </c:lineChart>
      <c:catAx>
        <c:axId val="17527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775312"/>
        <c:crosses val="autoZero"/>
        <c:auto val="1"/>
        <c:lblAlgn val="ctr"/>
        <c:lblOffset val="100"/>
        <c:noMultiLvlLbl val="0"/>
      </c:catAx>
      <c:valAx>
        <c:axId val="175277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76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&amp;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[$$-409]#,##0</c:formatCode>
                <c:ptCount val="2"/>
                <c:pt idx="0">
                  <c:v>53440</c:v>
                </c:pt>
                <c:pt idx="1">
                  <c:v>56208.178438661707</c:v>
                </c:pt>
              </c:numCache>
            </c:numRef>
          </c:val>
          <c:extLst>
            <c:ext xmlns:c16="http://schemas.microsoft.com/office/drawing/2014/chart" uri="{C3380CC4-5D6E-409C-BE32-E72D297353CC}">
              <c16:uniqueId val="{00000000-386D-4F83-84F7-CF63B5B8F91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[$$-409]#,##0</c:formatCode>
                <c:ptCount val="2"/>
                <c:pt idx="0">
                  <c:v>55774.058577405856</c:v>
                </c:pt>
                <c:pt idx="1">
                  <c:v>60123.966942148763</c:v>
                </c:pt>
              </c:numCache>
            </c:numRef>
          </c:val>
          <c:extLst>
            <c:ext xmlns:c16="http://schemas.microsoft.com/office/drawing/2014/chart" uri="{C3380CC4-5D6E-409C-BE32-E72D297353CC}">
              <c16:uniqueId val="{00000001-386D-4F83-84F7-CF63B5B8F912}"/>
            </c:ext>
          </c:extLst>
        </c:ser>
        <c:dLbls>
          <c:showLegendKey val="0"/>
          <c:showVal val="0"/>
          <c:showCatName val="0"/>
          <c:showSerName val="0"/>
          <c:showPercent val="0"/>
          <c:showBubbleSize val="0"/>
        </c:dLbls>
        <c:gapWidth val="219"/>
        <c:overlap val="-27"/>
        <c:axId val="1479836576"/>
        <c:axId val="1479837408"/>
      </c:barChart>
      <c:catAx>
        <c:axId val="147983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37408"/>
        <c:crosses val="autoZero"/>
        <c:auto val="1"/>
        <c:lblAlgn val="ctr"/>
        <c:lblOffset val="100"/>
        <c:noMultiLvlLbl val="0"/>
      </c:catAx>
      <c:valAx>
        <c:axId val="147983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836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&amp;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a:t>
            </a:r>
            <a:r>
              <a:rPr lang="en-MY" baseline="0"/>
              <a:t> Commute</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58A-4765-939D-86CFB5D413FA}"/>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58A-4765-939D-86CFB5D413FA}"/>
            </c:ext>
          </c:extLst>
        </c:ser>
        <c:dLbls>
          <c:showLegendKey val="0"/>
          <c:showVal val="0"/>
          <c:showCatName val="0"/>
          <c:showSerName val="0"/>
          <c:showPercent val="0"/>
          <c:showBubbleSize val="0"/>
        </c:dLbls>
        <c:smooth val="0"/>
        <c:axId val="1671443568"/>
        <c:axId val="1671443152"/>
      </c:lineChart>
      <c:catAx>
        <c:axId val="167144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43152"/>
        <c:crosses val="autoZero"/>
        <c:auto val="1"/>
        <c:lblAlgn val="ctr"/>
        <c:lblOffset val="100"/>
        <c:noMultiLvlLbl val="0"/>
      </c:catAx>
      <c:valAx>
        <c:axId val="167144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4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 &amp;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Aged</c:v>
                </c:pt>
                <c:pt idx="2">
                  <c:v>Old</c:v>
                </c:pt>
              </c:strCache>
            </c:strRef>
          </c:cat>
          <c:val>
            <c:numRef>
              <c:f>'Pivot Table'!$B$42:$B$45</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4772-40DF-B1EF-21F8F3D59CB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Aged</c:v>
                </c:pt>
                <c:pt idx="2">
                  <c:v>Old</c:v>
                </c:pt>
              </c:strCache>
            </c:strRef>
          </c:cat>
          <c:val>
            <c:numRef>
              <c:f>'Pivot Table'!$C$42:$C$45</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4772-40DF-B1EF-21F8F3D59CB5}"/>
            </c:ext>
          </c:extLst>
        </c:ser>
        <c:dLbls>
          <c:showLegendKey val="0"/>
          <c:showVal val="0"/>
          <c:showCatName val="0"/>
          <c:showSerName val="0"/>
          <c:showPercent val="0"/>
          <c:showBubbleSize val="0"/>
        </c:dLbls>
        <c:marker val="1"/>
        <c:smooth val="0"/>
        <c:axId val="1671442320"/>
        <c:axId val="1671441072"/>
      </c:lineChart>
      <c:catAx>
        <c:axId val="16714423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41072"/>
        <c:crosses val="autoZero"/>
        <c:auto val="1"/>
        <c:lblAlgn val="ctr"/>
        <c:lblOffset val="100"/>
        <c:noMultiLvlLbl val="0"/>
      </c:catAx>
      <c:valAx>
        <c:axId val="167144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4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601980</xdr:colOff>
      <xdr:row>0</xdr:row>
      <xdr:rowOff>0</xdr:rowOff>
    </xdr:from>
    <xdr:to>
      <xdr:col>12</xdr:col>
      <xdr:colOff>297180</xdr:colOff>
      <xdr:row>15</xdr:row>
      <xdr:rowOff>0</xdr:rowOff>
    </xdr:to>
    <xdr:graphicFrame macro="">
      <xdr:nvGraphicFramePr>
        <xdr:cNvPr id="2" name="Chart 1">
          <a:extLst>
            <a:ext uri="{FF2B5EF4-FFF2-40B4-BE49-F238E27FC236}">
              <a16:creationId xmlns:a16="http://schemas.microsoft.com/office/drawing/2014/main" id="{282C7479-14FD-4F27-B1C3-9E2762B45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569259</xdr:colOff>
      <xdr:row>19</xdr:row>
      <xdr:rowOff>152400</xdr:rowOff>
    </xdr:from>
    <xdr:to>
      <xdr:col>12</xdr:col>
      <xdr:colOff>264459</xdr:colOff>
      <xdr:row>35</xdr:row>
      <xdr:rowOff>26894</xdr:rowOff>
    </xdr:to>
    <xdr:graphicFrame macro="">
      <xdr:nvGraphicFramePr>
        <xdr:cNvPr id="3" name="Chart 2">
          <a:extLst>
            <a:ext uri="{FF2B5EF4-FFF2-40B4-BE49-F238E27FC236}">
              <a16:creationId xmlns:a16="http://schemas.microsoft.com/office/drawing/2014/main" id="{0AED6040-6F35-44D5-9BBA-8349A8989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596153</xdr:colOff>
      <xdr:row>39</xdr:row>
      <xdr:rowOff>-1</xdr:rowOff>
    </xdr:from>
    <xdr:to>
      <xdr:col>12</xdr:col>
      <xdr:colOff>291353</xdr:colOff>
      <xdr:row>54</xdr:row>
      <xdr:rowOff>53788</xdr:rowOff>
    </xdr:to>
    <xdr:graphicFrame macro="">
      <xdr:nvGraphicFramePr>
        <xdr:cNvPr id="4" name="Chart 3">
          <a:extLst>
            <a:ext uri="{FF2B5EF4-FFF2-40B4-BE49-F238E27FC236}">
              <a16:creationId xmlns:a16="http://schemas.microsoft.com/office/drawing/2014/main" id="{6A8408AC-30AB-4DE4-A81D-63D70C183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587188</xdr:colOff>
      <xdr:row>57</xdr:row>
      <xdr:rowOff>170330</xdr:rowOff>
    </xdr:from>
    <xdr:to>
      <xdr:col>12</xdr:col>
      <xdr:colOff>282388</xdr:colOff>
      <xdr:row>73</xdr:row>
      <xdr:rowOff>44824</xdr:rowOff>
    </xdr:to>
    <xdr:graphicFrame macro="">
      <xdr:nvGraphicFramePr>
        <xdr:cNvPr id="5" name="Chart 4">
          <a:extLst>
            <a:ext uri="{FF2B5EF4-FFF2-40B4-BE49-F238E27FC236}">
              <a16:creationId xmlns:a16="http://schemas.microsoft.com/office/drawing/2014/main" id="{067DBCCE-E30A-42FA-AC66-09DD50A7C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56990</xdr:colOff>
      <xdr:row>6</xdr:row>
      <xdr:rowOff>18336</xdr:rowOff>
    </xdr:from>
    <xdr:to>
      <xdr:col>9</xdr:col>
      <xdr:colOff>522514</xdr:colOff>
      <xdr:row>19</xdr:row>
      <xdr:rowOff>170795</xdr:rowOff>
    </xdr:to>
    <xdr:graphicFrame macro="">
      <xdr:nvGraphicFramePr>
        <xdr:cNvPr id="2" name="Chart 1">
          <a:extLst>
            <a:ext uri="{FF2B5EF4-FFF2-40B4-BE49-F238E27FC236}">
              <a16:creationId xmlns:a16="http://schemas.microsoft.com/office/drawing/2014/main" id="{5D71960C-B133-4707-8E6A-21992B7CC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73231</xdr:colOff>
      <xdr:row>20</xdr:row>
      <xdr:rowOff>69768</xdr:rowOff>
    </xdr:from>
    <xdr:to>
      <xdr:col>16</xdr:col>
      <xdr:colOff>595745</xdr:colOff>
      <xdr:row>35</xdr:row>
      <xdr:rowOff>42552</xdr:rowOff>
    </xdr:to>
    <xdr:graphicFrame macro="">
      <xdr:nvGraphicFramePr>
        <xdr:cNvPr id="3" name="Chart 2">
          <a:extLst>
            <a:ext uri="{FF2B5EF4-FFF2-40B4-BE49-F238E27FC236}">
              <a16:creationId xmlns:a16="http://schemas.microsoft.com/office/drawing/2014/main" id="{0AD28C73-9047-4B91-BA34-5F329732E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41563</xdr:colOff>
      <xdr:row>6</xdr:row>
      <xdr:rowOff>18336</xdr:rowOff>
    </xdr:from>
    <xdr:to>
      <xdr:col>16</xdr:col>
      <xdr:colOff>595745</xdr:colOff>
      <xdr:row>20</xdr:row>
      <xdr:rowOff>4481</xdr:rowOff>
    </xdr:to>
    <xdr:graphicFrame macro="">
      <xdr:nvGraphicFramePr>
        <xdr:cNvPr id="4" name="Chart 3">
          <a:extLst>
            <a:ext uri="{FF2B5EF4-FFF2-40B4-BE49-F238E27FC236}">
              <a16:creationId xmlns:a16="http://schemas.microsoft.com/office/drawing/2014/main" id="{010AB1BA-C2BA-4D25-A6BA-B54ACD20A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1386</xdr:rowOff>
    </xdr:from>
    <xdr:to>
      <xdr:col>3</xdr:col>
      <xdr:colOff>0</xdr:colOff>
      <xdr:row>10</xdr:row>
      <xdr:rowOff>166255</xdr:rowOff>
    </xdr:to>
    <mc:AlternateContent xmlns:mc="http://schemas.openxmlformats.org/markup-compatibility/2006" xmlns:a14="http://schemas.microsoft.com/office/drawing/2010/main">
      <mc:Choice Requires="a14">
        <xdr:graphicFrame macro="">
          <xdr:nvGraphicFramePr>
            <xdr:cNvPr id="6" name="Marital Status 1">
              <a:extLst>
                <a:ext uri="{FF2B5EF4-FFF2-40B4-BE49-F238E27FC236}">
                  <a16:creationId xmlns:a16="http://schemas.microsoft.com/office/drawing/2014/main" id="{505A22F1-DD3C-4DE8-A195-ECC6F236378A}"/>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1082041"/>
              <a:ext cx="1828800" cy="88530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152400</xdr:rowOff>
    </xdr:from>
    <xdr:to>
      <xdr:col>3</xdr:col>
      <xdr:colOff>0</xdr:colOff>
      <xdr:row>26</xdr:row>
      <xdr:rowOff>174172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18F9A596-836F-49E0-AFD3-C9A9A3AE398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14255"/>
              <a:ext cx="1828800" cy="164275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81248</xdr:rowOff>
    </xdr:from>
    <xdr:to>
      <xdr:col>3</xdr:col>
      <xdr:colOff>0</xdr:colOff>
      <xdr:row>17</xdr:row>
      <xdr:rowOff>80160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C2B5380-B14B-4A7B-BE46-404E3E2C33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62448"/>
              <a:ext cx="1828800" cy="107956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RO 5" refreshedDate="46143.063914004633" createdVersion="7" refreshedVersion="7" minRefreshableVersion="3" recordCount="1000" xr:uid="{4BAC5C9C-0F38-499B-903D-34E94F4DD440}">
  <cacheSource type="worksheet">
    <worksheetSource ref="A1:N1001" sheet="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 numFmtId="0">
      <sharedItems count="4">
        <s v="Middle Aged"/>
        <s v="Old"/>
        <s v="Adolescent"/>
        <s v="Middle Aged 31-54" u="1"/>
      </sharedItems>
    </cacheField>
    <cacheField name="Purchased Bike" numFmtId="0">
      <sharedItems count="2">
        <s v="No"/>
        <s v="Yes"/>
      </sharedItems>
    </cacheField>
  </cacheFields>
  <extLst>
    <ext xmlns:x14="http://schemas.microsoft.com/office/spreadsheetml/2009/9/main" uri="{725AE2AE-9491-48be-B2B4-4EB974FC3084}">
      <x14:pivotCacheDefinition pivotCacheId="168830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05874-6139-48EE-8C2F-80591E680A6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5D5753-8575-48A9-92DD-6B1605D7121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59:D11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785AE7-3A7F-4DCF-91F0-3FD75A2D7F7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EE1559-7A9B-4B7F-BD9F-B2523D5516E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3C8DD888-1E1C-4C86-9898-568FDAC4E011}" sourceName="Marital Status">
  <pivotTables>
    <pivotTable tabId="3" name="PivotTable1"/>
    <pivotTable tabId="3" name="PivotTable2"/>
    <pivotTable tabId="3" name="PivotTable3"/>
    <pivotTable tabId="3" name="PivotTable4"/>
  </pivotTables>
  <data>
    <tabular pivotCacheId="1688307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15F9955-DB6A-4356-B2E1-48683ACD5664}" sourceName="Education">
  <pivotTables>
    <pivotTable tabId="3" name="PivotTable1"/>
    <pivotTable tabId="3" name="PivotTable2"/>
    <pivotTable tabId="3" name="PivotTable3"/>
    <pivotTable tabId="3" name="PivotTable4"/>
  </pivotTables>
  <data>
    <tabular pivotCacheId="16883075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4C608C-6437-49FB-8014-0FD141D11496}" sourceName="Region">
  <pivotTables>
    <pivotTable tabId="3" name="PivotTable1"/>
    <pivotTable tabId="3" name="PivotTable2"/>
    <pivotTable tabId="3" name="PivotTable3"/>
    <pivotTable tabId="3" name="PivotTable4"/>
  </pivotTables>
  <data>
    <tabular pivotCacheId="1688307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05E5C0FF-CFB2-46DB-86CD-F61DA01728D4}" cache="Slicer_Marital_Status1" caption="Marital Status" rowHeight="234950"/>
  <slicer name="Education" xr10:uid="{4F7C6C27-1EB1-422F-8FD5-A0D0FA0E997E}" cache="Slicer_Education" caption="Education" rowHeight="234950"/>
  <slicer name="Region" xr10:uid="{1E6FB749-D924-45E9-95AA-B0C58C1289B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D88944-27E7-497D-8BDD-FEF47AB51D8E}" name="Table1" displayName="Table1" ref="A1:N2" totalsRowShown="0">
  <autoFilter ref="A1:N2" xr:uid="{C1D88944-27E7-497D-8BDD-FEF47AB51D8E}"/>
  <tableColumns count="14">
    <tableColumn id="1" xr3:uid="{93CEF4D5-EC46-4C57-981F-05ECE2A17937}" name="ID"/>
    <tableColumn id="2" xr3:uid="{727DEA2D-36C5-4C29-B9CA-35C0C2F4C156}" name="Marital Status"/>
    <tableColumn id="3" xr3:uid="{4A435705-B339-4B03-8D3D-09FDCC233769}" name="Gender"/>
    <tableColumn id="4" xr3:uid="{805FDCE6-4C8D-453E-BC46-697F84367848}" name="Income"/>
    <tableColumn id="5" xr3:uid="{C68D22C0-CC1E-4899-9412-FC9A671FE385}" name="Children"/>
    <tableColumn id="6" xr3:uid="{9A4B73F6-DFF9-493C-8470-B837791C7E76}" name="Education"/>
    <tableColumn id="7" xr3:uid="{C8F4958A-2526-4A26-92E9-60824D39E579}" name="Occupation"/>
    <tableColumn id="8" xr3:uid="{09423D43-66DA-40BA-852D-85B6C36A61A4}" name="Home Owner"/>
    <tableColumn id="9" xr3:uid="{DF2F67D5-0D3A-4BDB-982E-80F714B90CE8}" name="Cars"/>
    <tableColumn id="10" xr3:uid="{910D647F-19D6-413F-9AE1-374861F900D3}" name="Commute Distance"/>
    <tableColumn id="11" xr3:uid="{7C1943ED-4092-463C-A8FA-296D4BCF6AD1}" name="Region"/>
    <tableColumn id="12" xr3:uid="{7D4FA6A4-D347-4F7A-8076-951920F2ED4D}" name="Age"/>
    <tableColumn id="13" xr3:uid="{C0FBF5AC-BAA1-4F24-86DD-0ADAB42A92D4}" name="Age Bracket "/>
    <tableColumn id="14" xr3:uid="{CF727B1F-B2DE-45C5-AB48-30BCF3485B1B}"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1" sqref="D11"/>
    </sheetView>
  </sheetViews>
  <sheetFormatPr defaultColWidth="11.88671875" defaultRowHeight="14.4" x14ac:dyDescent="0.3"/>
  <cols>
    <col min="1" max="1" width="6" bestFit="1" customWidth="1"/>
    <col min="2" max="2" width="12.33203125" bestFit="1" customWidth="1"/>
    <col min="3" max="3" width="6.88671875" bestFit="1" customWidth="1"/>
    <col min="4" max="4" width="11"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3.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5C49-EFC0-496D-881C-8CCD02D5708D}">
  <dimension ref="A1:N1001"/>
  <sheetViews>
    <sheetView topLeftCell="C1" workbookViewId="0">
      <selection activeCell="N2" sqref="N2"/>
    </sheetView>
  </sheetViews>
  <sheetFormatPr defaultRowHeight="14.4" x14ac:dyDescent="0.3"/>
  <cols>
    <col min="1" max="1" width="6" bestFit="1" customWidth="1"/>
    <col min="2" max="2" width="14.5546875" bestFit="1" customWidth="1"/>
    <col min="3" max="3" width="9.109375" bestFit="1" customWidth="1"/>
    <col min="4" max="4" width="11"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9" customWidth="1"/>
    <col min="14" max="14" width="15.554687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IF(L2&gt;=31,"Middle Aged", IF(L2&lt;31, "Adolescent","Invalid")))</f>
        <v>Middle Aged</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IF(L3&gt;=31,"Middle Aged", IF(L3&lt;31, "Adolescent","Invalid")))</f>
        <v>Middle Aged</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Aged</v>
      </c>
      <c r="N5" t="s">
        <v>15</v>
      </c>
    </row>
    <row r="6" spans="1:14" x14ac:dyDescent="0.3">
      <c r="A6">
        <v>25597</v>
      </c>
      <c r="B6" t="s">
        <v>37</v>
      </c>
      <c r="C6" t="s">
        <v>38</v>
      </c>
      <c r="D6" s="3">
        <v>30000</v>
      </c>
      <c r="E6">
        <v>0</v>
      </c>
      <c r="F6" t="s">
        <v>13</v>
      </c>
      <c r="G6" t="s">
        <v>20</v>
      </c>
      <c r="H6" t="s">
        <v>18</v>
      </c>
      <c r="I6">
        <v>0</v>
      </c>
      <c r="J6" t="s">
        <v>16</v>
      </c>
      <c r="K6" t="s">
        <v>17</v>
      </c>
      <c r="L6">
        <v>36</v>
      </c>
      <c r="M6" t="str">
        <f t="shared" si="0"/>
        <v>Middle Aged</v>
      </c>
      <c r="N6" t="s">
        <v>15</v>
      </c>
    </row>
    <row r="7" spans="1:14" x14ac:dyDescent="0.3">
      <c r="A7">
        <v>13507</v>
      </c>
      <c r="B7" t="s">
        <v>36</v>
      </c>
      <c r="C7" t="s">
        <v>39</v>
      </c>
      <c r="D7" s="3">
        <v>10000</v>
      </c>
      <c r="E7">
        <v>2</v>
      </c>
      <c r="F7" t="s">
        <v>19</v>
      </c>
      <c r="G7" t="s">
        <v>25</v>
      </c>
      <c r="H7" t="s">
        <v>15</v>
      </c>
      <c r="I7">
        <v>0</v>
      </c>
      <c r="J7" t="s">
        <v>26</v>
      </c>
      <c r="K7" t="s">
        <v>17</v>
      </c>
      <c r="L7">
        <v>50</v>
      </c>
      <c r="M7" t="str">
        <f t="shared" si="0"/>
        <v>Middle Aged</v>
      </c>
      <c r="N7" t="s">
        <v>18</v>
      </c>
    </row>
    <row r="8" spans="1:14" x14ac:dyDescent="0.3">
      <c r="A8">
        <v>27974</v>
      </c>
      <c r="B8" t="s">
        <v>37</v>
      </c>
      <c r="C8" t="s">
        <v>38</v>
      </c>
      <c r="D8" s="3">
        <v>160000</v>
      </c>
      <c r="E8">
        <v>2</v>
      </c>
      <c r="F8" t="s">
        <v>27</v>
      </c>
      <c r="G8" t="s">
        <v>28</v>
      </c>
      <c r="H8" t="s">
        <v>15</v>
      </c>
      <c r="I8">
        <v>4</v>
      </c>
      <c r="J8" t="s">
        <v>16</v>
      </c>
      <c r="K8" t="s">
        <v>24</v>
      </c>
      <c r="L8">
        <v>33</v>
      </c>
      <c r="M8" t="str">
        <f t="shared" si="0"/>
        <v>Middle Aged</v>
      </c>
      <c r="N8" t="s">
        <v>15</v>
      </c>
    </row>
    <row r="9" spans="1:14" x14ac:dyDescent="0.3">
      <c r="A9">
        <v>19364</v>
      </c>
      <c r="B9" t="s">
        <v>36</v>
      </c>
      <c r="C9" t="s">
        <v>38</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39</v>
      </c>
      <c r="D13" s="3">
        <v>90000</v>
      </c>
      <c r="E13">
        <v>0</v>
      </c>
      <c r="F13" t="s">
        <v>13</v>
      </c>
      <c r="G13" t="s">
        <v>21</v>
      </c>
      <c r="H13" t="s">
        <v>18</v>
      </c>
      <c r="I13">
        <v>4</v>
      </c>
      <c r="J13" t="s">
        <v>48</v>
      </c>
      <c r="K13" t="s">
        <v>24</v>
      </c>
      <c r="L13">
        <v>36</v>
      </c>
      <c r="M13" t="str">
        <f t="shared" si="0"/>
        <v>Middle Aged</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3">
        <v>80000</v>
      </c>
      <c r="E23">
        <v>0</v>
      </c>
      <c r="F23" t="s">
        <v>13</v>
      </c>
      <c r="G23" t="s">
        <v>21</v>
      </c>
      <c r="H23" t="s">
        <v>15</v>
      </c>
      <c r="I23">
        <v>4</v>
      </c>
      <c r="J23" t="s">
        <v>48</v>
      </c>
      <c r="K23" t="s">
        <v>24</v>
      </c>
      <c r="L23">
        <v>35</v>
      </c>
      <c r="M23" t="str">
        <f t="shared" si="0"/>
        <v>Middle Aged</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48</v>
      </c>
      <c r="K53" t="s">
        <v>24</v>
      </c>
      <c r="L53">
        <v>35</v>
      </c>
      <c r="M53" t="str">
        <f t="shared" si="0"/>
        <v>Middle Aged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3">
        <v>80000</v>
      </c>
      <c r="E57">
        <v>4</v>
      </c>
      <c r="F57" t="s">
        <v>27</v>
      </c>
      <c r="G57" t="s">
        <v>21</v>
      </c>
      <c r="H57" t="s">
        <v>15</v>
      </c>
      <c r="I57">
        <v>2</v>
      </c>
      <c r="J57" t="s">
        <v>48</v>
      </c>
      <c r="K57" t="s">
        <v>17</v>
      </c>
      <c r="L57">
        <v>54</v>
      </c>
      <c r="M57" t="str">
        <f t="shared" si="0"/>
        <v>Old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3">
        <v>60000</v>
      </c>
      <c r="E65">
        <v>4</v>
      </c>
      <c r="F65" t="s">
        <v>13</v>
      </c>
      <c r="G65" t="s">
        <v>21</v>
      </c>
      <c r="H65" t="s">
        <v>15</v>
      </c>
      <c r="I65">
        <v>3</v>
      </c>
      <c r="J65" t="s">
        <v>48</v>
      </c>
      <c r="K65" t="s">
        <v>24</v>
      </c>
      <c r="L65">
        <v>41</v>
      </c>
      <c r="M65" t="str">
        <f t="shared" si="0"/>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IF(L67&gt;=31,"Middle Aged", IF(L67&lt;31, "Adolescent","Invalid")))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48</v>
      </c>
      <c r="K72" t="s">
        <v>24</v>
      </c>
      <c r="L72">
        <v>36</v>
      </c>
      <c r="M72" t="str">
        <f t="shared" si="1"/>
        <v>Middle Aged</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48</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48</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3">
        <v>80000</v>
      </c>
      <c r="E124">
        <v>0</v>
      </c>
      <c r="F124" t="s">
        <v>13</v>
      </c>
      <c r="G124" t="s">
        <v>21</v>
      </c>
      <c r="H124" t="s">
        <v>18</v>
      </c>
      <c r="I124">
        <v>3</v>
      </c>
      <c r="J124" t="s">
        <v>48</v>
      </c>
      <c r="K124" t="s">
        <v>24</v>
      </c>
      <c r="L124">
        <v>31</v>
      </c>
      <c r="M124" t="str">
        <f t="shared" si="1"/>
        <v>Middle Aged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IF(L131&gt;=31,"Middle Aged", IF(L131&lt;31, "Adolescent","Invalid")))</f>
        <v>Middle Aged</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3">
        <v>80000</v>
      </c>
      <c r="E145">
        <v>0</v>
      </c>
      <c r="F145" t="s">
        <v>13</v>
      </c>
      <c r="G145" t="s">
        <v>21</v>
      </c>
      <c r="H145" t="s">
        <v>15</v>
      </c>
      <c r="I145">
        <v>3</v>
      </c>
      <c r="J145" t="s">
        <v>48</v>
      </c>
      <c r="K145" t="s">
        <v>24</v>
      </c>
      <c r="L145">
        <v>32</v>
      </c>
      <c r="M145" t="str">
        <f t="shared" si="2"/>
        <v>Middle Aged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3">
        <v>100000</v>
      </c>
      <c r="E169">
        <v>0</v>
      </c>
      <c r="F169" t="s">
        <v>27</v>
      </c>
      <c r="G169" t="s">
        <v>28</v>
      </c>
      <c r="H169" t="s">
        <v>15</v>
      </c>
      <c r="I169">
        <v>3</v>
      </c>
      <c r="J169" t="s">
        <v>48</v>
      </c>
      <c r="K169" t="s">
        <v>24</v>
      </c>
      <c r="L169">
        <v>35</v>
      </c>
      <c r="M169" t="str">
        <f t="shared" si="2"/>
        <v>Middle Aged</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3">
        <v>160000</v>
      </c>
      <c r="E180">
        <v>4</v>
      </c>
      <c r="F180" t="s">
        <v>19</v>
      </c>
      <c r="G180" t="s">
        <v>21</v>
      </c>
      <c r="H180" t="s">
        <v>18</v>
      </c>
      <c r="I180">
        <v>2</v>
      </c>
      <c r="J180" t="s">
        <v>48</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48</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48</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48</v>
      </c>
      <c r="K190" t="s">
        <v>24</v>
      </c>
      <c r="L190">
        <v>32</v>
      </c>
      <c r="M190" t="str">
        <f t="shared" si="2"/>
        <v>Middle Aged</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3">
        <v>80000</v>
      </c>
      <c r="E194">
        <v>5</v>
      </c>
      <c r="F194" t="s">
        <v>13</v>
      </c>
      <c r="G194" t="s">
        <v>28</v>
      </c>
      <c r="H194" t="s">
        <v>15</v>
      </c>
      <c r="I194">
        <v>2</v>
      </c>
      <c r="J194" t="s">
        <v>48</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48</v>
      </c>
      <c r="K195" t="s">
        <v>24</v>
      </c>
      <c r="L195">
        <v>41</v>
      </c>
      <c r="M195" t="str">
        <f t="shared" ref="M195:M258" si="3">IF(L195&gt;=54,"Old", IF(L195&gt;=31,"Middle Aged", IF(L195&lt;31, "Adolescent","Invalid")))</f>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3">
        <v>80000</v>
      </c>
      <c r="E201">
        <v>0</v>
      </c>
      <c r="F201" t="s">
        <v>13</v>
      </c>
      <c r="G201" t="s">
        <v>21</v>
      </c>
      <c r="H201" t="s">
        <v>18</v>
      </c>
      <c r="I201">
        <v>3</v>
      </c>
      <c r="J201" t="s">
        <v>48</v>
      </c>
      <c r="K201" t="s">
        <v>24</v>
      </c>
      <c r="L201">
        <v>33</v>
      </c>
      <c r="M201" t="str">
        <f t="shared" si="3"/>
        <v>Middle Aged</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3">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48</v>
      </c>
      <c r="K215" t="s">
        <v>24</v>
      </c>
      <c r="L215">
        <v>31</v>
      </c>
      <c r="M215" t="str">
        <f t="shared" si="3"/>
        <v>Middle Aged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3">
        <v>70000</v>
      </c>
      <c r="E225">
        <v>5</v>
      </c>
      <c r="F225" t="s">
        <v>13</v>
      </c>
      <c r="G225" t="s">
        <v>21</v>
      </c>
      <c r="H225" t="s">
        <v>15</v>
      </c>
      <c r="I225">
        <v>4</v>
      </c>
      <c r="J225" t="s">
        <v>48</v>
      </c>
      <c r="K225" t="s">
        <v>24</v>
      </c>
      <c r="L225">
        <v>39</v>
      </c>
      <c r="M225" t="str">
        <f t="shared" si="3"/>
        <v>Middle Aged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3">
        <v>80000</v>
      </c>
      <c r="E231">
        <v>5</v>
      </c>
      <c r="F231" t="s">
        <v>27</v>
      </c>
      <c r="G231" t="s">
        <v>28</v>
      </c>
      <c r="H231" t="s">
        <v>15</v>
      </c>
      <c r="I231">
        <v>3</v>
      </c>
      <c r="J231" t="s">
        <v>48</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48</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48</v>
      </c>
      <c r="K236" t="s">
        <v>24</v>
      </c>
      <c r="L236">
        <v>35</v>
      </c>
      <c r="M236" t="str">
        <f t="shared" si="3"/>
        <v>Middle Aged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48</v>
      </c>
      <c r="K246" t="s">
        <v>17</v>
      </c>
      <c r="L246">
        <v>52</v>
      </c>
      <c r="M246" t="str">
        <f t="shared" si="3"/>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3">
        <v>100000</v>
      </c>
      <c r="E249">
        <v>0</v>
      </c>
      <c r="F249" t="s">
        <v>27</v>
      </c>
      <c r="G249" t="s">
        <v>28</v>
      </c>
      <c r="H249" t="s">
        <v>15</v>
      </c>
      <c r="I249">
        <v>4</v>
      </c>
      <c r="J249" t="s">
        <v>48</v>
      </c>
      <c r="K249" t="s">
        <v>24</v>
      </c>
      <c r="L249">
        <v>34</v>
      </c>
      <c r="M249" t="str">
        <f t="shared" si="3"/>
        <v>Middle Aged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3">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IF(L259&gt;=31,"Middle Aged", IF(L259&lt;31, "Adolescent","Invalid")))</f>
        <v>Middle Aged</v>
      </c>
      <c r="N259" t="s">
        <v>15</v>
      </c>
    </row>
    <row r="260" spans="1:14" x14ac:dyDescent="0.3">
      <c r="A260">
        <v>14193</v>
      </c>
      <c r="B260" t="s">
        <v>37</v>
      </c>
      <c r="C260" t="s">
        <v>39</v>
      </c>
      <c r="D260" s="3">
        <v>100000</v>
      </c>
      <c r="E260">
        <v>3</v>
      </c>
      <c r="F260" t="s">
        <v>19</v>
      </c>
      <c r="G260" t="s">
        <v>28</v>
      </c>
      <c r="H260" t="s">
        <v>15</v>
      </c>
      <c r="I260">
        <v>4</v>
      </c>
      <c r="J260" t="s">
        <v>48</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3">
        <v>70000</v>
      </c>
      <c r="E265">
        <v>5</v>
      </c>
      <c r="F265" t="s">
        <v>13</v>
      </c>
      <c r="G265" t="s">
        <v>21</v>
      </c>
      <c r="H265" t="s">
        <v>15</v>
      </c>
      <c r="I265">
        <v>3</v>
      </c>
      <c r="J265" t="s">
        <v>48</v>
      </c>
      <c r="K265" t="s">
        <v>24</v>
      </c>
      <c r="L265">
        <v>39</v>
      </c>
      <c r="M265" t="str">
        <f t="shared" si="4"/>
        <v>Middle Aged</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3">
        <v>100000</v>
      </c>
      <c r="E280">
        <v>0</v>
      </c>
      <c r="F280" t="s">
        <v>27</v>
      </c>
      <c r="G280" t="s">
        <v>28</v>
      </c>
      <c r="H280" t="s">
        <v>15</v>
      </c>
      <c r="I280">
        <v>3</v>
      </c>
      <c r="J280" t="s">
        <v>48</v>
      </c>
      <c r="K280" t="s">
        <v>24</v>
      </c>
      <c r="L280">
        <v>35</v>
      </c>
      <c r="M280" t="str">
        <f t="shared" si="4"/>
        <v>Middle Aged</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3">
        <v>110000</v>
      </c>
      <c r="E297">
        <v>0</v>
      </c>
      <c r="F297" t="s">
        <v>19</v>
      </c>
      <c r="G297" t="s">
        <v>28</v>
      </c>
      <c r="H297" t="s">
        <v>15</v>
      </c>
      <c r="I297">
        <v>3</v>
      </c>
      <c r="J297" t="s">
        <v>48</v>
      </c>
      <c r="K297" t="s">
        <v>24</v>
      </c>
      <c r="L297">
        <v>32</v>
      </c>
      <c r="M297" t="str">
        <f t="shared" si="4"/>
        <v>Middle Aged</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3">
        <v>130000</v>
      </c>
      <c r="E320">
        <v>4</v>
      </c>
      <c r="F320" t="s">
        <v>19</v>
      </c>
      <c r="G320" t="s">
        <v>21</v>
      </c>
      <c r="H320" t="s">
        <v>18</v>
      </c>
      <c r="I320">
        <v>3</v>
      </c>
      <c r="J320" t="s">
        <v>48</v>
      </c>
      <c r="K320" t="s">
        <v>17</v>
      </c>
      <c r="L320">
        <v>54</v>
      </c>
      <c r="M320" t="str">
        <f t="shared" si="4"/>
        <v>Old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IF(L323&gt;=31,"Middle Aged", IF(L323&lt;31, "Adolescent","Invalid")))</f>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3">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48</v>
      </c>
      <c r="K332" t="s">
        <v>24</v>
      </c>
      <c r="L332">
        <v>32</v>
      </c>
      <c r="M332" t="str">
        <f t="shared" si="5"/>
        <v>Middle Aged</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3">
        <v>80000</v>
      </c>
      <c r="E357">
        <v>0</v>
      </c>
      <c r="F357" t="s">
        <v>13</v>
      </c>
      <c r="G357" t="s">
        <v>21</v>
      </c>
      <c r="H357" t="s">
        <v>15</v>
      </c>
      <c r="I357">
        <v>3</v>
      </c>
      <c r="J357" t="s">
        <v>48</v>
      </c>
      <c r="K357" t="s">
        <v>24</v>
      </c>
      <c r="L357">
        <v>32</v>
      </c>
      <c r="M357" t="str">
        <f t="shared" si="5"/>
        <v>Middle Aged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48</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3">
        <v>100000</v>
      </c>
      <c r="E372">
        <v>4</v>
      </c>
      <c r="F372" t="s">
        <v>13</v>
      </c>
      <c r="G372" t="s">
        <v>21</v>
      </c>
      <c r="H372" t="s">
        <v>15</v>
      </c>
      <c r="I372">
        <v>1</v>
      </c>
      <c r="J372" t="s">
        <v>48</v>
      </c>
      <c r="K372" t="s">
        <v>24</v>
      </c>
      <c r="L372">
        <v>46</v>
      </c>
      <c r="M372" t="str">
        <f t="shared" si="5"/>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3">
        <v>70000</v>
      </c>
      <c r="E382">
        <v>0</v>
      </c>
      <c r="F382" t="s">
        <v>13</v>
      </c>
      <c r="G382" t="s">
        <v>21</v>
      </c>
      <c r="H382" t="s">
        <v>18</v>
      </c>
      <c r="I382">
        <v>3</v>
      </c>
      <c r="J382" t="s">
        <v>48</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48</v>
      </c>
      <c r="K384" t="s">
        <v>17</v>
      </c>
      <c r="L384">
        <v>53</v>
      </c>
      <c r="M384" t="str">
        <f t="shared" si="5"/>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IF(L387&gt;=31,"Middle Aged", IF(L387&lt;31, "Adolescent","Invalid")))</f>
        <v>Middle Aged</v>
      </c>
      <c r="N387" t="s">
        <v>18</v>
      </c>
    </row>
    <row r="388" spans="1:14" x14ac:dyDescent="0.3">
      <c r="A388">
        <v>28957</v>
      </c>
      <c r="B388" t="s">
        <v>37</v>
      </c>
      <c r="C388" t="s">
        <v>39</v>
      </c>
      <c r="D388" s="3">
        <v>120000</v>
      </c>
      <c r="E388">
        <v>0</v>
      </c>
      <c r="F388" t="s">
        <v>29</v>
      </c>
      <c r="G388" t="s">
        <v>21</v>
      </c>
      <c r="H388" t="s">
        <v>15</v>
      </c>
      <c r="I388">
        <v>4</v>
      </c>
      <c r="J388" t="s">
        <v>48</v>
      </c>
      <c r="K388" t="s">
        <v>24</v>
      </c>
      <c r="L388">
        <v>34</v>
      </c>
      <c r="M388" t="str">
        <f t="shared" si="6"/>
        <v>Middle Aged</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3">
        <v>110000</v>
      </c>
      <c r="E402">
        <v>3</v>
      </c>
      <c r="F402" t="s">
        <v>13</v>
      </c>
      <c r="G402" t="s">
        <v>28</v>
      </c>
      <c r="H402" t="s">
        <v>15</v>
      </c>
      <c r="I402">
        <v>4</v>
      </c>
      <c r="J402" t="s">
        <v>48</v>
      </c>
      <c r="K402" t="s">
        <v>17</v>
      </c>
      <c r="L402">
        <v>53</v>
      </c>
      <c r="M402" t="str">
        <f t="shared" si="6"/>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3">
        <v>100000</v>
      </c>
      <c r="E422">
        <v>2</v>
      </c>
      <c r="F422" t="s">
        <v>13</v>
      </c>
      <c r="G422" t="s">
        <v>28</v>
      </c>
      <c r="H422" t="s">
        <v>15</v>
      </c>
      <c r="I422">
        <v>4</v>
      </c>
      <c r="J422" t="s">
        <v>48</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3">
        <v>110000</v>
      </c>
      <c r="E424">
        <v>0</v>
      </c>
      <c r="F424" t="s">
        <v>19</v>
      </c>
      <c r="G424" t="s">
        <v>28</v>
      </c>
      <c r="H424" t="s">
        <v>18</v>
      </c>
      <c r="I424">
        <v>3</v>
      </c>
      <c r="J424" t="s">
        <v>48</v>
      </c>
      <c r="K424" t="s">
        <v>24</v>
      </c>
      <c r="L424">
        <v>32</v>
      </c>
      <c r="M424" t="str">
        <f t="shared" si="6"/>
        <v>Middle Aged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48</v>
      </c>
      <c r="K434" t="s">
        <v>24</v>
      </c>
      <c r="L434">
        <v>34</v>
      </c>
      <c r="M434" t="str">
        <f t="shared" si="6"/>
        <v>Middle Aged</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3">
        <v>90000</v>
      </c>
      <c r="E442">
        <v>0</v>
      </c>
      <c r="F442" t="s">
        <v>13</v>
      </c>
      <c r="G442" t="s">
        <v>21</v>
      </c>
      <c r="H442" t="s">
        <v>18</v>
      </c>
      <c r="I442">
        <v>3</v>
      </c>
      <c r="J442" t="s">
        <v>48</v>
      </c>
      <c r="K442" t="s">
        <v>24</v>
      </c>
      <c r="L442">
        <v>34</v>
      </c>
      <c r="M442" t="str">
        <f t="shared" si="6"/>
        <v>Middle Aged</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3">
        <v>130000</v>
      </c>
      <c r="E448">
        <v>0</v>
      </c>
      <c r="F448" t="s">
        <v>31</v>
      </c>
      <c r="G448" t="s">
        <v>28</v>
      </c>
      <c r="H448" t="s">
        <v>15</v>
      </c>
      <c r="I448">
        <v>1</v>
      </c>
      <c r="J448" t="s">
        <v>48</v>
      </c>
      <c r="K448" t="s">
        <v>24</v>
      </c>
      <c r="L448">
        <v>48</v>
      </c>
      <c r="M448" t="str">
        <f t="shared" si="6"/>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IF(L451&gt;=31,"Middle Aged", IF(L451&lt;31, "Adolescent","Invalid")))</f>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48</v>
      </c>
      <c r="K460" t="s">
        <v>24</v>
      </c>
      <c r="L460">
        <v>32</v>
      </c>
      <c r="M460" t="str">
        <f t="shared" si="7"/>
        <v>Middle Aged</v>
      </c>
      <c r="N460" t="s">
        <v>15</v>
      </c>
    </row>
    <row r="461" spans="1:14" x14ac:dyDescent="0.3">
      <c r="A461">
        <v>21554</v>
      </c>
      <c r="B461" t="s">
        <v>37</v>
      </c>
      <c r="C461" t="s">
        <v>39</v>
      </c>
      <c r="D461" s="3">
        <v>80000</v>
      </c>
      <c r="E461">
        <v>0</v>
      </c>
      <c r="F461" t="s">
        <v>13</v>
      </c>
      <c r="G461" t="s">
        <v>21</v>
      </c>
      <c r="H461" t="s">
        <v>18</v>
      </c>
      <c r="I461">
        <v>3</v>
      </c>
      <c r="J461" t="s">
        <v>48</v>
      </c>
      <c r="K461" t="s">
        <v>24</v>
      </c>
      <c r="L461">
        <v>33</v>
      </c>
      <c r="M461" t="str">
        <f t="shared" si="7"/>
        <v>Middle Aged</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3">
        <v>90000</v>
      </c>
      <c r="E488">
        <v>4</v>
      </c>
      <c r="F488" t="s">
        <v>29</v>
      </c>
      <c r="G488" t="s">
        <v>14</v>
      </c>
      <c r="H488" t="s">
        <v>15</v>
      </c>
      <c r="I488">
        <v>4</v>
      </c>
      <c r="J488" t="s">
        <v>48</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3">
        <v>70000</v>
      </c>
      <c r="E495">
        <v>5</v>
      </c>
      <c r="F495" t="s">
        <v>13</v>
      </c>
      <c r="G495" t="s">
        <v>28</v>
      </c>
      <c r="H495" t="s">
        <v>15</v>
      </c>
      <c r="I495">
        <v>3</v>
      </c>
      <c r="J495" t="s">
        <v>48</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3">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3">
        <v>60000</v>
      </c>
      <c r="E515">
        <v>4</v>
      </c>
      <c r="F515" t="s">
        <v>31</v>
      </c>
      <c r="G515" t="s">
        <v>28</v>
      </c>
      <c r="H515" t="s">
        <v>15</v>
      </c>
      <c r="I515">
        <v>2</v>
      </c>
      <c r="J515" t="s">
        <v>48</v>
      </c>
      <c r="K515" t="s">
        <v>32</v>
      </c>
      <c r="L515">
        <v>61</v>
      </c>
      <c r="M515" t="str">
        <f t="shared" ref="M515:M578" si="8">IF(L515&gt;=54,"Old", IF(L515&gt;=31,"Middle Aged", IF(L515&lt;31, "Adolescent","Invalid")))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3">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48</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48</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3">
        <v>60000</v>
      </c>
      <c r="E535">
        <v>3</v>
      </c>
      <c r="F535" t="s">
        <v>13</v>
      </c>
      <c r="G535" t="s">
        <v>28</v>
      </c>
      <c r="H535" t="s">
        <v>15</v>
      </c>
      <c r="I535">
        <v>2</v>
      </c>
      <c r="J535" t="s">
        <v>48</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48</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48</v>
      </c>
      <c r="K537" t="s">
        <v>32</v>
      </c>
      <c r="L537">
        <v>41</v>
      </c>
      <c r="M537" t="str">
        <f t="shared" si="8"/>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3">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48</v>
      </c>
      <c r="K554" t="s">
        <v>32</v>
      </c>
      <c r="L554">
        <v>54</v>
      </c>
      <c r="M554" t="str">
        <f t="shared" si="8"/>
        <v>Old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3">
        <v>60000</v>
      </c>
      <c r="E561">
        <v>2</v>
      </c>
      <c r="F561" t="s">
        <v>13</v>
      </c>
      <c r="G561" t="s">
        <v>28</v>
      </c>
      <c r="H561" t="s">
        <v>15</v>
      </c>
      <c r="I561">
        <v>0</v>
      </c>
      <c r="J561" t="s">
        <v>48</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3">
        <v>50000</v>
      </c>
      <c r="E571">
        <v>3</v>
      </c>
      <c r="F571" t="s">
        <v>31</v>
      </c>
      <c r="G571" t="s">
        <v>28</v>
      </c>
      <c r="H571" t="s">
        <v>15</v>
      </c>
      <c r="I571">
        <v>2</v>
      </c>
      <c r="J571" t="s">
        <v>48</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3">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IF(L579&gt;=31,"Middle Aged", IF(L579&lt;31, "Adolescent","Invalid")))</f>
        <v>Middle Aged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3">
        <v>60000</v>
      </c>
      <c r="E582">
        <v>3</v>
      </c>
      <c r="F582" t="s">
        <v>31</v>
      </c>
      <c r="G582" t="s">
        <v>28</v>
      </c>
      <c r="H582" t="s">
        <v>15</v>
      </c>
      <c r="I582">
        <v>2</v>
      </c>
      <c r="J582" t="s">
        <v>48</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3">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3">
        <v>90000</v>
      </c>
      <c r="E590">
        <v>2</v>
      </c>
      <c r="F590" t="s">
        <v>27</v>
      </c>
      <c r="G590" t="s">
        <v>21</v>
      </c>
      <c r="H590" t="s">
        <v>15</v>
      </c>
      <c r="I590">
        <v>1</v>
      </c>
      <c r="J590" t="s">
        <v>48</v>
      </c>
      <c r="K590" t="s">
        <v>32</v>
      </c>
      <c r="L590">
        <v>51</v>
      </c>
      <c r="M590" t="str">
        <f t="shared" si="9"/>
        <v>Middle Aged</v>
      </c>
      <c r="N590" t="s">
        <v>15</v>
      </c>
    </row>
    <row r="591" spans="1:14" x14ac:dyDescent="0.3">
      <c r="A591">
        <v>12100</v>
      </c>
      <c r="B591" t="s">
        <v>37</v>
      </c>
      <c r="C591" t="s">
        <v>38</v>
      </c>
      <c r="D591" s="3">
        <v>60000</v>
      </c>
      <c r="E591">
        <v>2</v>
      </c>
      <c r="F591" t="s">
        <v>13</v>
      </c>
      <c r="G591" t="s">
        <v>28</v>
      </c>
      <c r="H591" t="s">
        <v>15</v>
      </c>
      <c r="I591">
        <v>0</v>
      </c>
      <c r="J591" t="s">
        <v>48</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3">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3">
        <v>70000</v>
      </c>
      <c r="E609">
        <v>5</v>
      </c>
      <c r="F609" t="s">
        <v>31</v>
      </c>
      <c r="G609" t="s">
        <v>21</v>
      </c>
      <c r="H609" t="s">
        <v>15</v>
      </c>
      <c r="I609">
        <v>3</v>
      </c>
      <c r="J609" t="s">
        <v>48</v>
      </c>
      <c r="K609" t="s">
        <v>32</v>
      </c>
      <c r="L609">
        <v>46</v>
      </c>
      <c r="M609" t="str">
        <f t="shared" si="9"/>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48</v>
      </c>
      <c r="K643" t="s">
        <v>32</v>
      </c>
      <c r="L643">
        <v>64</v>
      </c>
      <c r="M643" t="str">
        <f t="shared" ref="M643:M706" si="10">IF(L643&gt;=54,"Old", IF(L643&gt;=31,"Middle Aged", IF(L643&lt;31, "Adolescent","Invalid")))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3">
        <v>60000</v>
      </c>
      <c r="E646">
        <v>5</v>
      </c>
      <c r="F646" t="s">
        <v>13</v>
      </c>
      <c r="G646" t="s">
        <v>14</v>
      </c>
      <c r="H646" t="s">
        <v>15</v>
      </c>
      <c r="I646">
        <v>3</v>
      </c>
      <c r="J646" t="s">
        <v>48</v>
      </c>
      <c r="K646" t="s">
        <v>32</v>
      </c>
      <c r="L646">
        <v>41</v>
      </c>
      <c r="M646" t="str">
        <f t="shared" si="10"/>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3">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3">
        <v>60000</v>
      </c>
      <c r="E661">
        <v>4</v>
      </c>
      <c r="F661" t="s">
        <v>13</v>
      </c>
      <c r="G661" t="s">
        <v>28</v>
      </c>
      <c r="H661" t="s">
        <v>15</v>
      </c>
      <c r="I661">
        <v>2</v>
      </c>
      <c r="J661" t="s">
        <v>48</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3">
        <v>40000</v>
      </c>
      <c r="E669">
        <v>5</v>
      </c>
      <c r="F669" t="s">
        <v>27</v>
      </c>
      <c r="G669" t="s">
        <v>21</v>
      </c>
      <c r="H669" t="s">
        <v>18</v>
      </c>
      <c r="I669">
        <v>2</v>
      </c>
      <c r="J669" t="s">
        <v>48</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3">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48</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3">
        <v>70000</v>
      </c>
      <c r="E707">
        <v>4</v>
      </c>
      <c r="F707" t="s">
        <v>13</v>
      </c>
      <c r="G707" t="s">
        <v>28</v>
      </c>
      <c r="H707" t="s">
        <v>15</v>
      </c>
      <c r="I707">
        <v>1</v>
      </c>
      <c r="J707" t="s">
        <v>48</v>
      </c>
      <c r="K707" t="s">
        <v>32</v>
      </c>
      <c r="L707">
        <v>59</v>
      </c>
      <c r="M707" t="str">
        <f t="shared" ref="M707:M770" si="11">IF(L707&gt;=54,"Old", IF(L707&gt;=31,"Middle Aged", IF(L707&lt;31, "Adolescent","Invalid")))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3">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48</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3">
        <v>70000</v>
      </c>
      <c r="E713">
        <v>2</v>
      </c>
      <c r="F713" t="s">
        <v>19</v>
      </c>
      <c r="G713" t="s">
        <v>21</v>
      </c>
      <c r="H713" t="s">
        <v>15</v>
      </c>
      <c r="I713">
        <v>1</v>
      </c>
      <c r="J713" t="s">
        <v>48</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3">
        <v>60000</v>
      </c>
      <c r="E741">
        <v>2</v>
      </c>
      <c r="F741" t="s">
        <v>19</v>
      </c>
      <c r="G741" t="s">
        <v>21</v>
      </c>
      <c r="H741" t="s">
        <v>15</v>
      </c>
      <c r="I741">
        <v>1</v>
      </c>
      <c r="J741" t="s">
        <v>48</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3">
        <v>70000</v>
      </c>
      <c r="E746">
        <v>4</v>
      </c>
      <c r="F746" t="s">
        <v>19</v>
      </c>
      <c r="G746" t="s">
        <v>21</v>
      </c>
      <c r="H746" t="s">
        <v>15</v>
      </c>
      <c r="I746">
        <v>1</v>
      </c>
      <c r="J746" t="s">
        <v>48</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3">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3">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3">
        <v>50000</v>
      </c>
      <c r="E768">
        <v>4</v>
      </c>
      <c r="F768" t="s">
        <v>13</v>
      </c>
      <c r="G768" t="s">
        <v>14</v>
      </c>
      <c r="H768" t="s">
        <v>15</v>
      </c>
      <c r="I768">
        <v>3</v>
      </c>
      <c r="J768" t="s">
        <v>48</v>
      </c>
      <c r="K768" t="s">
        <v>32</v>
      </c>
      <c r="L768">
        <v>42</v>
      </c>
      <c r="M768" t="str">
        <f t="shared" si="11"/>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IF(L771&gt;=31,"Middle Aged", IF(L771&lt;31, "Adolescent","Invalid")))</f>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3">
        <v>70000</v>
      </c>
      <c r="E777">
        <v>2</v>
      </c>
      <c r="F777" t="s">
        <v>29</v>
      </c>
      <c r="G777" t="s">
        <v>14</v>
      </c>
      <c r="H777" t="s">
        <v>15</v>
      </c>
      <c r="I777">
        <v>2</v>
      </c>
      <c r="J777" t="s">
        <v>48</v>
      </c>
      <c r="K777" t="s">
        <v>32</v>
      </c>
      <c r="L777">
        <v>54</v>
      </c>
      <c r="M777" t="str">
        <f t="shared" si="12"/>
        <v>Old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3">
        <v>60000</v>
      </c>
      <c r="E782">
        <v>2</v>
      </c>
      <c r="F782" t="s">
        <v>19</v>
      </c>
      <c r="G782" t="s">
        <v>21</v>
      </c>
      <c r="H782" t="s">
        <v>15</v>
      </c>
      <c r="I782">
        <v>1</v>
      </c>
      <c r="J782" t="s">
        <v>48</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3">
        <v>70000</v>
      </c>
      <c r="E814">
        <v>4</v>
      </c>
      <c r="F814" t="s">
        <v>13</v>
      </c>
      <c r="G814" t="s">
        <v>28</v>
      </c>
      <c r="H814" t="s">
        <v>15</v>
      </c>
      <c r="I814">
        <v>2</v>
      </c>
      <c r="J814" t="s">
        <v>48</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48</v>
      </c>
      <c r="K815" t="s">
        <v>32</v>
      </c>
      <c r="L815">
        <v>53</v>
      </c>
      <c r="M815" t="str">
        <f t="shared" si="12"/>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IF(L835&gt;=31,"Middle Aged", IF(L835&lt;31, "Adolescent","Invalid")))</f>
        <v>Middle Aged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3">
        <v>70000</v>
      </c>
      <c r="E842">
        <v>4</v>
      </c>
      <c r="F842" t="s">
        <v>19</v>
      </c>
      <c r="G842" t="s">
        <v>21</v>
      </c>
      <c r="H842" t="s">
        <v>15</v>
      </c>
      <c r="I842">
        <v>2</v>
      </c>
      <c r="J842" t="s">
        <v>48</v>
      </c>
      <c r="K842" t="s">
        <v>32</v>
      </c>
      <c r="L842">
        <v>53</v>
      </c>
      <c r="M842" t="str">
        <f t="shared" si="13"/>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3">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3">
        <v>60000</v>
      </c>
      <c r="E868">
        <v>2</v>
      </c>
      <c r="F868" t="s">
        <v>27</v>
      </c>
      <c r="G868" t="s">
        <v>21</v>
      </c>
      <c r="H868" t="s">
        <v>15</v>
      </c>
      <c r="I868">
        <v>2</v>
      </c>
      <c r="J868" t="s">
        <v>48</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3">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3">
        <v>60000</v>
      </c>
      <c r="E873">
        <v>2</v>
      </c>
      <c r="F873" t="s">
        <v>27</v>
      </c>
      <c r="G873" t="s">
        <v>21</v>
      </c>
      <c r="H873" t="s">
        <v>15</v>
      </c>
      <c r="I873">
        <v>2</v>
      </c>
      <c r="J873" t="s">
        <v>48</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IF(L899&gt;=31,"Middle Aged", IF(L899&lt;31, "Adolescent","Invalid")))</f>
        <v>Adolescent</v>
      </c>
      <c r="N899" t="s">
        <v>18</v>
      </c>
    </row>
    <row r="900" spans="1:14" x14ac:dyDescent="0.3">
      <c r="A900">
        <v>18066</v>
      </c>
      <c r="B900" t="s">
        <v>37</v>
      </c>
      <c r="C900" t="s">
        <v>38</v>
      </c>
      <c r="D900" s="3">
        <v>70000</v>
      </c>
      <c r="E900">
        <v>5</v>
      </c>
      <c r="F900" t="s">
        <v>13</v>
      </c>
      <c r="G900" t="s">
        <v>28</v>
      </c>
      <c r="H900" t="s">
        <v>15</v>
      </c>
      <c r="I900">
        <v>3</v>
      </c>
      <c r="J900" t="s">
        <v>48</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48</v>
      </c>
      <c r="K901" t="s">
        <v>32</v>
      </c>
      <c r="L901">
        <v>46</v>
      </c>
      <c r="M901" t="str">
        <f t="shared" si="14"/>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3">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3">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3">
        <v>40000</v>
      </c>
      <c r="E921">
        <v>4</v>
      </c>
      <c r="F921" t="s">
        <v>27</v>
      </c>
      <c r="G921" t="s">
        <v>21</v>
      </c>
      <c r="H921" t="s">
        <v>15</v>
      </c>
      <c r="I921">
        <v>2</v>
      </c>
      <c r="J921" t="s">
        <v>48</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3">
        <v>40000</v>
      </c>
      <c r="E928">
        <v>2</v>
      </c>
      <c r="F928" t="s">
        <v>27</v>
      </c>
      <c r="G928" t="s">
        <v>21</v>
      </c>
      <c r="H928" t="s">
        <v>15</v>
      </c>
      <c r="I928">
        <v>2</v>
      </c>
      <c r="J928" t="s">
        <v>48</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3">
        <v>70000</v>
      </c>
      <c r="E932">
        <v>5</v>
      </c>
      <c r="F932" t="s">
        <v>31</v>
      </c>
      <c r="G932" t="s">
        <v>21</v>
      </c>
      <c r="H932" t="s">
        <v>18</v>
      </c>
      <c r="I932">
        <v>3</v>
      </c>
      <c r="J932" t="s">
        <v>48</v>
      </c>
      <c r="K932" t="s">
        <v>32</v>
      </c>
      <c r="L932">
        <v>47</v>
      </c>
      <c r="M932" t="str">
        <f t="shared" si="14"/>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3">
        <v>70000</v>
      </c>
      <c r="E951">
        <v>2</v>
      </c>
      <c r="F951" t="s">
        <v>29</v>
      </c>
      <c r="G951" t="s">
        <v>14</v>
      </c>
      <c r="H951" t="s">
        <v>15</v>
      </c>
      <c r="I951">
        <v>2</v>
      </c>
      <c r="J951" t="s">
        <v>48</v>
      </c>
      <c r="K951" t="s">
        <v>32</v>
      </c>
      <c r="L951">
        <v>53</v>
      </c>
      <c r="M951" t="str">
        <f t="shared" si="14"/>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IF(L963&gt;=31,"Middle Aged", IF(L963&lt;31, "Adolescent","Invalid")))</f>
        <v>Old</v>
      </c>
      <c r="N963" t="s">
        <v>18</v>
      </c>
    </row>
    <row r="964" spans="1:14" x14ac:dyDescent="0.3">
      <c r="A964">
        <v>16813</v>
      </c>
      <c r="B964" t="s">
        <v>36</v>
      </c>
      <c r="C964" t="s">
        <v>38</v>
      </c>
      <c r="D964" s="3">
        <v>60000</v>
      </c>
      <c r="E964">
        <v>2</v>
      </c>
      <c r="F964" t="s">
        <v>19</v>
      </c>
      <c r="G964" t="s">
        <v>21</v>
      </c>
      <c r="H964" t="s">
        <v>15</v>
      </c>
      <c r="I964">
        <v>2</v>
      </c>
      <c r="J964" t="s">
        <v>48</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3">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3">
        <v>80000</v>
      </c>
      <c r="E982">
        <v>3</v>
      </c>
      <c r="F982" t="s">
        <v>13</v>
      </c>
      <c r="G982" t="s">
        <v>14</v>
      </c>
      <c r="H982" t="s">
        <v>15</v>
      </c>
      <c r="I982">
        <v>3</v>
      </c>
      <c r="J982" t="s">
        <v>48</v>
      </c>
      <c r="K982" t="s">
        <v>32</v>
      </c>
      <c r="L982">
        <v>40</v>
      </c>
      <c r="M982" t="str">
        <f t="shared" si="15"/>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3">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48</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48</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48</v>
      </c>
      <c r="K991" t="s">
        <v>32</v>
      </c>
      <c r="L991">
        <v>42</v>
      </c>
      <c r="M991" t="str">
        <f t="shared" si="15"/>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3">
        <v>60000</v>
      </c>
      <c r="E1001">
        <v>3</v>
      </c>
      <c r="F1001" t="s">
        <v>27</v>
      </c>
      <c r="G1001" t="s">
        <v>21</v>
      </c>
      <c r="H1001" t="s">
        <v>15</v>
      </c>
      <c r="I1001">
        <v>2</v>
      </c>
      <c r="J1001" t="s">
        <v>48</v>
      </c>
      <c r="K1001" t="s">
        <v>32</v>
      </c>
      <c r="L1001">
        <v>53</v>
      </c>
      <c r="M1001" t="str">
        <f t="shared" si="15"/>
        <v>Middle Aged</v>
      </c>
      <c r="N1001" t="s">
        <v>15</v>
      </c>
    </row>
  </sheetData>
  <autoFilter ref="A1:N1001" xr:uid="{399A5C49-EFC0-496D-881C-8CCD02D5708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4831-5EB8-43D0-80B5-4D708EE6FAA1}">
  <dimension ref="A1:N2"/>
  <sheetViews>
    <sheetView workbookViewId="0">
      <selection activeCell="H5" sqref="H5"/>
    </sheetView>
  </sheetViews>
  <sheetFormatPr defaultRowHeight="14.4" x14ac:dyDescent="0.3"/>
  <cols>
    <col min="2" max="2" width="14.5546875" customWidth="1"/>
    <col min="3" max="3" width="9" customWidth="1"/>
    <col min="4" max="4" width="9.21875" customWidth="1"/>
    <col min="5" max="5" width="9.88671875" customWidth="1"/>
    <col min="6" max="6" width="11.33203125" customWidth="1"/>
    <col min="7" max="7" width="12.5546875" customWidth="1"/>
    <col min="8" max="8" width="13.88671875" customWidth="1"/>
    <col min="10" max="10" width="18.77734375" customWidth="1"/>
    <col min="13" max="13" width="13.33203125"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21365</v>
      </c>
      <c r="B2" t="s">
        <v>36</v>
      </c>
      <c r="C2" t="s">
        <v>39</v>
      </c>
      <c r="D2">
        <v>10000</v>
      </c>
      <c r="E2">
        <v>2</v>
      </c>
      <c r="F2" t="s">
        <v>29</v>
      </c>
      <c r="G2" t="s">
        <v>20</v>
      </c>
      <c r="H2" t="s">
        <v>15</v>
      </c>
      <c r="I2">
        <v>2</v>
      </c>
      <c r="J2" t="s">
        <v>23</v>
      </c>
      <c r="K2" t="s">
        <v>24</v>
      </c>
      <c r="L2">
        <v>58</v>
      </c>
      <c r="M2" t="s">
        <v>46</v>
      </c>
      <c r="N2"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A7979-C43D-4AFB-AEA4-5B46040FDDD3}">
  <dimension ref="A1:D114"/>
  <sheetViews>
    <sheetView tabSelected="1" zoomScale="70" zoomScaleNormal="70" workbookViewId="0">
      <selection activeCell="B24" sqref="B24"/>
    </sheetView>
  </sheetViews>
  <sheetFormatPr defaultRowHeight="14.4" x14ac:dyDescent="0.3"/>
  <cols>
    <col min="1" max="1" width="22.33203125" bestFit="1" customWidth="1"/>
    <col min="2" max="2" width="16.77734375" bestFit="1" customWidth="1"/>
    <col min="3" max="3" width="4.44140625" bestFit="1" customWidth="1"/>
    <col min="4" max="4" width="11.109375" bestFit="1" customWidth="1"/>
  </cols>
  <sheetData>
    <row r="1" spans="1:4" x14ac:dyDescent="0.3">
      <c r="A1" s="5" t="s">
        <v>43</v>
      </c>
      <c r="B1" s="5" t="s">
        <v>44</v>
      </c>
    </row>
    <row r="2" spans="1:4" x14ac:dyDescent="0.3">
      <c r="A2" s="5" t="s">
        <v>41</v>
      </c>
      <c r="B2" t="s">
        <v>18</v>
      </c>
      <c r="C2" t="s">
        <v>15</v>
      </c>
      <c r="D2" t="s">
        <v>42</v>
      </c>
    </row>
    <row r="3" spans="1:4" x14ac:dyDescent="0.3">
      <c r="A3" s="6" t="s">
        <v>39</v>
      </c>
      <c r="B3" s="8">
        <v>53440</v>
      </c>
      <c r="C3" s="8">
        <v>55774.058577405856</v>
      </c>
      <c r="D3" s="8">
        <v>54580.777096114522</v>
      </c>
    </row>
    <row r="4" spans="1:4" x14ac:dyDescent="0.3">
      <c r="A4" s="6" t="s">
        <v>38</v>
      </c>
      <c r="B4" s="8">
        <v>56208.178438661707</v>
      </c>
      <c r="C4" s="8">
        <v>60123.966942148763</v>
      </c>
      <c r="D4" s="8">
        <v>58062.62230919765</v>
      </c>
    </row>
    <row r="5" spans="1:4" x14ac:dyDescent="0.3">
      <c r="A5" s="6" t="s">
        <v>42</v>
      </c>
      <c r="B5" s="8">
        <v>54874.759152215796</v>
      </c>
      <c r="C5" s="8">
        <v>57962.577962577961</v>
      </c>
      <c r="D5" s="8">
        <v>56360</v>
      </c>
    </row>
    <row r="21" spans="1:4" x14ac:dyDescent="0.3">
      <c r="A21" s="5" t="s">
        <v>47</v>
      </c>
      <c r="B21" s="5" t="s">
        <v>44</v>
      </c>
    </row>
    <row r="22" spans="1:4" x14ac:dyDescent="0.3">
      <c r="A22" s="5" t="s">
        <v>41</v>
      </c>
      <c r="B22" t="s">
        <v>18</v>
      </c>
      <c r="C22" t="s">
        <v>15</v>
      </c>
      <c r="D22" t="s">
        <v>42</v>
      </c>
    </row>
    <row r="23" spans="1:4" x14ac:dyDescent="0.3">
      <c r="A23" s="6" t="s">
        <v>16</v>
      </c>
      <c r="B23" s="4">
        <v>166</v>
      </c>
      <c r="C23" s="4">
        <v>200</v>
      </c>
      <c r="D23" s="4">
        <v>366</v>
      </c>
    </row>
    <row r="24" spans="1:4" x14ac:dyDescent="0.3">
      <c r="A24" s="6" t="s">
        <v>26</v>
      </c>
      <c r="B24" s="4">
        <v>92</v>
      </c>
      <c r="C24" s="4">
        <v>77</v>
      </c>
      <c r="D24" s="4">
        <v>169</v>
      </c>
    </row>
    <row r="25" spans="1:4" x14ac:dyDescent="0.3">
      <c r="A25" s="6" t="s">
        <v>22</v>
      </c>
      <c r="B25" s="4">
        <v>67</v>
      </c>
      <c r="C25" s="4">
        <v>95</v>
      </c>
      <c r="D25" s="4">
        <v>162</v>
      </c>
    </row>
    <row r="26" spans="1:4" x14ac:dyDescent="0.3">
      <c r="A26" s="6" t="s">
        <v>23</v>
      </c>
      <c r="B26" s="4">
        <v>116</v>
      </c>
      <c r="C26" s="4">
        <v>76</v>
      </c>
      <c r="D26" s="4">
        <v>192</v>
      </c>
    </row>
    <row r="27" spans="1:4" x14ac:dyDescent="0.3">
      <c r="A27" s="6" t="s">
        <v>48</v>
      </c>
      <c r="B27" s="4">
        <v>78</v>
      </c>
      <c r="C27" s="4">
        <v>33</v>
      </c>
      <c r="D27" s="4">
        <v>111</v>
      </c>
    </row>
    <row r="28" spans="1:4" x14ac:dyDescent="0.3">
      <c r="A28" s="6" t="s">
        <v>42</v>
      </c>
      <c r="B28" s="4">
        <v>519</v>
      </c>
      <c r="C28" s="4">
        <v>481</v>
      </c>
      <c r="D28" s="4">
        <v>1000</v>
      </c>
    </row>
    <row r="40" spans="1:4" x14ac:dyDescent="0.3">
      <c r="A40" s="5" t="s">
        <v>47</v>
      </c>
      <c r="B40" s="5" t="s">
        <v>44</v>
      </c>
    </row>
    <row r="41" spans="1:4" x14ac:dyDescent="0.3">
      <c r="A41" s="5" t="s">
        <v>41</v>
      </c>
      <c r="B41" t="s">
        <v>18</v>
      </c>
      <c r="C41" t="s">
        <v>15</v>
      </c>
      <c r="D41" t="s">
        <v>42</v>
      </c>
    </row>
    <row r="42" spans="1:4" x14ac:dyDescent="0.3">
      <c r="A42" s="6" t="s">
        <v>50</v>
      </c>
      <c r="B42" s="4">
        <v>71</v>
      </c>
      <c r="C42" s="4">
        <v>39</v>
      </c>
      <c r="D42" s="4">
        <v>110</v>
      </c>
    </row>
    <row r="43" spans="1:4" x14ac:dyDescent="0.3">
      <c r="A43" s="6" t="s">
        <v>45</v>
      </c>
      <c r="B43" s="4">
        <v>313</v>
      </c>
      <c r="C43" s="4">
        <v>372</v>
      </c>
      <c r="D43" s="4">
        <v>685</v>
      </c>
    </row>
    <row r="44" spans="1:4" x14ac:dyDescent="0.3">
      <c r="A44" s="6" t="s">
        <v>46</v>
      </c>
      <c r="B44" s="4">
        <v>135</v>
      </c>
      <c r="C44" s="4">
        <v>70</v>
      </c>
      <c r="D44" s="4">
        <v>205</v>
      </c>
    </row>
    <row r="45" spans="1:4" x14ac:dyDescent="0.3">
      <c r="A45" s="6" t="s">
        <v>42</v>
      </c>
      <c r="B45" s="4">
        <v>519</v>
      </c>
      <c r="C45" s="4">
        <v>481</v>
      </c>
      <c r="D45" s="4">
        <v>1000</v>
      </c>
    </row>
    <row r="59" spans="1:4" x14ac:dyDescent="0.3">
      <c r="A59" s="5" t="s">
        <v>47</v>
      </c>
      <c r="B59" s="5" t="s">
        <v>44</v>
      </c>
    </row>
    <row r="60" spans="1:4" x14ac:dyDescent="0.3">
      <c r="A60" s="5" t="s">
        <v>41</v>
      </c>
      <c r="B60" t="s">
        <v>18</v>
      </c>
      <c r="C60" t="s">
        <v>15</v>
      </c>
      <c r="D60" t="s">
        <v>42</v>
      </c>
    </row>
    <row r="61" spans="1:4" x14ac:dyDescent="0.3">
      <c r="A61" s="6">
        <v>25</v>
      </c>
      <c r="B61" s="4">
        <v>2</v>
      </c>
      <c r="C61" s="4">
        <v>4</v>
      </c>
      <c r="D61" s="4">
        <v>6</v>
      </c>
    </row>
    <row r="62" spans="1:4" x14ac:dyDescent="0.3">
      <c r="A62" s="6">
        <v>26</v>
      </c>
      <c r="B62" s="4">
        <v>8</v>
      </c>
      <c r="C62" s="4">
        <v>8</v>
      </c>
      <c r="D62" s="4">
        <v>16</v>
      </c>
    </row>
    <row r="63" spans="1:4" x14ac:dyDescent="0.3">
      <c r="A63" s="6">
        <v>27</v>
      </c>
      <c r="B63" s="4">
        <v>15</v>
      </c>
      <c r="C63" s="4">
        <v>8</v>
      </c>
      <c r="D63" s="4">
        <v>23</v>
      </c>
    </row>
    <row r="64" spans="1:4" x14ac:dyDescent="0.3">
      <c r="A64" s="6">
        <v>28</v>
      </c>
      <c r="B64" s="4">
        <v>12</v>
      </c>
      <c r="C64" s="4">
        <v>10</v>
      </c>
      <c r="D64" s="4">
        <v>22</v>
      </c>
    </row>
    <row r="65" spans="1:4" x14ac:dyDescent="0.3">
      <c r="A65" s="6">
        <v>29</v>
      </c>
      <c r="B65" s="4">
        <v>11</v>
      </c>
      <c r="C65" s="4">
        <v>5</v>
      </c>
      <c r="D65" s="4">
        <v>16</v>
      </c>
    </row>
    <row r="66" spans="1:4" x14ac:dyDescent="0.3">
      <c r="A66" s="6">
        <v>30</v>
      </c>
      <c r="B66" s="4">
        <v>23</v>
      </c>
      <c r="C66" s="4">
        <v>4</v>
      </c>
      <c r="D66" s="4">
        <v>27</v>
      </c>
    </row>
    <row r="67" spans="1:4" x14ac:dyDescent="0.3">
      <c r="A67" s="6">
        <v>31</v>
      </c>
      <c r="B67" s="4">
        <v>17</v>
      </c>
      <c r="C67" s="4">
        <v>8</v>
      </c>
      <c r="D67" s="4">
        <v>25</v>
      </c>
    </row>
    <row r="68" spans="1:4" x14ac:dyDescent="0.3">
      <c r="A68" s="6">
        <v>32</v>
      </c>
      <c r="B68" s="4">
        <v>19</v>
      </c>
      <c r="C68" s="4">
        <v>14</v>
      </c>
      <c r="D68" s="4">
        <v>33</v>
      </c>
    </row>
    <row r="69" spans="1:4" x14ac:dyDescent="0.3">
      <c r="A69" s="6">
        <v>33</v>
      </c>
      <c r="B69" s="4">
        <v>8</v>
      </c>
      <c r="C69" s="4">
        <v>13</v>
      </c>
      <c r="D69" s="4">
        <v>21</v>
      </c>
    </row>
    <row r="70" spans="1:4" x14ac:dyDescent="0.3">
      <c r="A70" s="6">
        <v>34</v>
      </c>
      <c r="B70" s="4">
        <v>12</v>
      </c>
      <c r="C70" s="4">
        <v>19</v>
      </c>
      <c r="D70" s="4">
        <v>31</v>
      </c>
    </row>
    <row r="71" spans="1:4" x14ac:dyDescent="0.3">
      <c r="A71" s="6">
        <v>35</v>
      </c>
      <c r="B71" s="4">
        <v>14</v>
      </c>
      <c r="C71" s="4">
        <v>22</v>
      </c>
      <c r="D71" s="4">
        <v>36</v>
      </c>
    </row>
    <row r="72" spans="1:4" x14ac:dyDescent="0.3">
      <c r="A72" s="6">
        <v>36</v>
      </c>
      <c r="B72" s="4">
        <v>7</v>
      </c>
      <c r="C72" s="4">
        <v>30</v>
      </c>
      <c r="D72" s="4">
        <v>37</v>
      </c>
    </row>
    <row r="73" spans="1:4" x14ac:dyDescent="0.3">
      <c r="A73" s="6">
        <v>37</v>
      </c>
      <c r="B73" s="4">
        <v>4</v>
      </c>
      <c r="C73" s="4">
        <v>28</v>
      </c>
      <c r="D73" s="4">
        <v>32</v>
      </c>
    </row>
    <row r="74" spans="1:4" x14ac:dyDescent="0.3">
      <c r="A74" s="6">
        <v>38</v>
      </c>
      <c r="B74" s="4">
        <v>8</v>
      </c>
      <c r="C74" s="4">
        <v>29</v>
      </c>
      <c r="D74" s="4">
        <v>37</v>
      </c>
    </row>
    <row r="75" spans="1:4" x14ac:dyDescent="0.3">
      <c r="A75" s="6">
        <v>39</v>
      </c>
      <c r="B75" s="4">
        <v>10</v>
      </c>
      <c r="C75" s="4">
        <v>12</v>
      </c>
      <c r="D75" s="4">
        <v>22</v>
      </c>
    </row>
    <row r="76" spans="1:4" x14ac:dyDescent="0.3">
      <c r="A76" s="6">
        <v>40</v>
      </c>
      <c r="B76" s="4">
        <v>24</v>
      </c>
      <c r="C76" s="4">
        <v>18</v>
      </c>
      <c r="D76" s="4">
        <v>42</v>
      </c>
    </row>
    <row r="77" spans="1:4" x14ac:dyDescent="0.3">
      <c r="A77" s="6">
        <v>41</v>
      </c>
      <c r="B77" s="4">
        <v>13</v>
      </c>
      <c r="C77" s="4">
        <v>15</v>
      </c>
      <c r="D77" s="4">
        <v>28</v>
      </c>
    </row>
    <row r="78" spans="1:4" x14ac:dyDescent="0.3">
      <c r="A78" s="6">
        <v>42</v>
      </c>
      <c r="B78" s="4">
        <v>22</v>
      </c>
      <c r="C78" s="4">
        <v>12</v>
      </c>
      <c r="D78" s="4">
        <v>34</v>
      </c>
    </row>
    <row r="79" spans="1:4" x14ac:dyDescent="0.3">
      <c r="A79" s="6">
        <v>43</v>
      </c>
      <c r="B79" s="4">
        <v>17</v>
      </c>
      <c r="C79" s="4">
        <v>19</v>
      </c>
      <c r="D79" s="4">
        <v>36</v>
      </c>
    </row>
    <row r="80" spans="1:4" x14ac:dyDescent="0.3">
      <c r="A80" s="6">
        <v>44</v>
      </c>
      <c r="B80" s="4">
        <v>15</v>
      </c>
      <c r="C80" s="4">
        <v>12</v>
      </c>
      <c r="D80" s="4">
        <v>27</v>
      </c>
    </row>
    <row r="81" spans="1:4" x14ac:dyDescent="0.3">
      <c r="A81" s="6">
        <v>45</v>
      </c>
      <c r="B81" s="4">
        <v>18</v>
      </c>
      <c r="C81" s="4">
        <v>13</v>
      </c>
      <c r="D81" s="4">
        <v>31</v>
      </c>
    </row>
    <row r="82" spans="1:4" x14ac:dyDescent="0.3">
      <c r="A82" s="6">
        <v>46</v>
      </c>
      <c r="B82" s="4">
        <v>12</v>
      </c>
      <c r="C82" s="4">
        <v>15</v>
      </c>
      <c r="D82" s="4">
        <v>27</v>
      </c>
    </row>
    <row r="83" spans="1:4" x14ac:dyDescent="0.3">
      <c r="A83" s="6">
        <v>47</v>
      </c>
      <c r="B83" s="4">
        <v>19</v>
      </c>
      <c r="C83" s="4">
        <v>20</v>
      </c>
      <c r="D83" s="4">
        <v>39</v>
      </c>
    </row>
    <row r="84" spans="1:4" x14ac:dyDescent="0.3">
      <c r="A84" s="6">
        <v>48</v>
      </c>
      <c r="B84" s="4">
        <v>16</v>
      </c>
      <c r="C84" s="4">
        <v>13</v>
      </c>
      <c r="D84" s="4">
        <v>29</v>
      </c>
    </row>
    <row r="85" spans="1:4" x14ac:dyDescent="0.3">
      <c r="A85" s="6">
        <v>49</v>
      </c>
      <c r="B85" s="4">
        <v>15</v>
      </c>
      <c r="C85" s="4">
        <v>8</v>
      </c>
      <c r="D85" s="4">
        <v>23</v>
      </c>
    </row>
    <row r="86" spans="1:4" x14ac:dyDescent="0.3">
      <c r="A86" s="6">
        <v>50</v>
      </c>
      <c r="B86" s="4">
        <v>12</v>
      </c>
      <c r="C86" s="4">
        <v>12</v>
      </c>
      <c r="D86" s="4">
        <v>24</v>
      </c>
    </row>
    <row r="87" spans="1:4" x14ac:dyDescent="0.3">
      <c r="A87" s="6">
        <v>51</v>
      </c>
      <c r="B87" s="4">
        <v>10</v>
      </c>
      <c r="C87" s="4">
        <v>12</v>
      </c>
      <c r="D87" s="4">
        <v>22</v>
      </c>
    </row>
    <row r="88" spans="1:4" x14ac:dyDescent="0.3">
      <c r="A88" s="6">
        <v>52</v>
      </c>
      <c r="B88" s="4">
        <v>10</v>
      </c>
      <c r="C88" s="4">
        <v>15</v>
      </c>
      <c r="D88" s="4">
        <v>25</v>
      </c>
    </row>
    <row r="89" spans="1:4" x14ac:dyDescent="0.3">
      <c r="A89" s="6">
        <v>53</v>
      </c>
      <c r="B89" s="4">
        <v>11</v>
      </c>
      <c r="C89" s="4">
        <v>13</v>
      </c>
      <c r="D89" s="4">
        <v>24</v>
      </c>
    </row>
    <row r="90" spans="1:4" x14ac:dyDescent="0.3">
      <c r="A90" s="6">
        <v>54</v>
      </c>
      <c r="B90" s="4">
        <v>5</v>
      </c>
      <c r="C90" s="4">
        <v>11</v>
      </c>
      <c r="D90" s="4">
        <v>16</v>
      </c>
    </row>
    <row r="91" spans="1:4" x14ac:dyDescent="0.3">
      <c r="A91" s="6">
        <v>55</v>
      </c>
      <c r="B91" s="4">
        <v>13</v>
      </c>
      <c r="C91" s="4">
        <v>5</v>
      </c>
      <c r="D91" s="4">
        <v>18</v>
      </c>
    </row>
    <row r="92" spans="1:4" x14ac:dyDescent="0.3">
      <c r="A92" s="6">
        <v>56</v>
      </c>
      <c r="B92" s="4">
        <v>13</v>
      </c>
      <c r="C92" s="4">
        <v>3</v>
      </c>
      <c r="D92" s="4">
        <v>16</v>
      </c>
    </row>
    <row r="93" spans="1:4" x14ac:dyDescent="0.3">
      <c r="A93" s="6">
        <v>57</v>
      </c>
      <c r="B93" s="4">
        <v>4</v>
      </c>
      <c r="C93" s="4">
        <v>4</v>
      </c>
      <c r="D93" s="4">
        <v>8</v>
      </c>
    </row>
    <row r="94" spans="1:4" x14ac:dyDescent="0.3">
      <c r="A94" s="6">
        <v>58</v>
      </c>
      <c r="B94" s="4">
        <v>8</v>
      </c>
      <c r="C94" s="4">
        <v>4</v>
      </c>
      <c r="D94" s="4">
        <v>12</v>
      </c>
    </row>
    <row r="95" spans="1:4" x14ac:dyDescent="0.3">
      <c r="A95" s="6">
        <v>59</v>
      </c>
      <c r="B95" s="4">
        <v>14</v>
      </c>
      <c r="C95" s="4">
        <v>6</v>
      </c>
      <c r="D95" s="4">
        <v>20</v>
      </c>
    </row>
    <row r="96" spans="1:4" x14ac:dyDescent="0.3">
      <c r="A96" s="6">
        <v>60</v>
      </c>
      <c r="B96" s="4">
        <v>8</v>
      </c>
      <c r="C96" s="4">
        <v>7</v>
      </c>
      <c r="D96" s="4">
        <v>15</v>
      </c>
    </row>
    <row r="97" spans="1:4" x14ac:dyDescent="0.3">
      <c r="A97" s="6">
        <v>61</v>
      </c>
      <c r="B97" s="4">
        <v>5</v>
      </c>
      <c r="C97" s="4">
        <v>4</v>
      </c>
      <c r="D97" s="4">
        <v>9</v>
      </c>
    </row>
    <row r="98" spans="1:4" x14ac:dyDescent="0.3">
      <c r="A98" s="6">
        <v>62</v>
      </c>
      <c r="B98" s="4">
        <v>9</v>
      </c>
      <c r="C98" s="4">
        <v>4</v>
      </c>
      <c r="D98" s="4">
        <v>13</v>
      </c>
    </row>
    <row r="99" spans="1:4" x14ac:dyDescent="0.3">
      <c r="A99" s="6">
        <v>63</v>
      </c>
      <c r="B99" s="4">
        <v>7</v>
      </c>
      <c r="C99" s="4">
        <v>2</v>
      </c>
      <c r="D99" s="4">
        <v>9</v>
      </c>
    </row>
    <row r="100" spans="1:4" x14ac:dyDescent="0.3">
      <c r="A100" s="6">
        <v>64</v>
      </c>
      <c r="B100" s="4">
        <v>7</v>
      </c>
      <c r="C100" s="4">
        <v>3</v>
      </c>
      <c r="D100" s="4">
        <v>10</v>
      </c>
    </row>
    <row r="101" spans="1:4" x14ac:dyDescent="0.3">
      <c r="A101" s="6">
        <v>65</v>
      </c>
      <c r="B101" s="4">
        <v>6</v>
      </c>
      <c r="C101" s="4">
        <v>3</v>
      </c>
      <c r="D101" s="4">
        <v>9</v>
      </c>
    </row>
    <row r="102" spans="1:4" x14ac:dyDescent="0.3">
      <c r="A102" s="6">
        <v>66</v>
      </c>
      <c r="B102" s="4">
        <v>8</v>
      </c>
      <c r="C102" s="4">
        <v>6</v>
      </c>
      <c r="D102" s="4">
        <v>14</v>
      </c>
    </row>
    <row r="103" spans="1:4" x14ac:dyDescent="0.3">
      <c r="A103" s="6">
        <v>67</v>
      </c>
      <c r="B103" s="4">
        <v>8</v>
      </c>
      <c r="C103" s="4">
        <v>2</v>
      </c>
      <c r="D103" s="4">
        <v>10</v>
      </c>
    </row>
    <row r="104" spans="1:4" x14ac:dyDescent="0.3">
      <c r="A104" s="6">
        <v>68</v>
      </c>
      <c r="B104" s="4">
        <v>3</v>
      </c>
      <c r="C104" s="4"/>
      <c r="D104" s="4">
        <v>3</v>
      </c>
    </row>
    <row r="105" spans="1:4" x14ac:dyDescent="0.3">
      <c r="A105" s="6">
        <v>69</v>
      </c>
      <c r="B105" s="4">
        <v>8</v>
      </c>
      <c r="C105" s="4"/>
      <c r="D105" s="4">
        <v>8</v>
      </c>
    </row>
    <row r="106" spans="1:4" x14ac:dyDescent="0.3">
      <c r="A106" s="6">
        <v>70</v>
      </c>
      <c r="B106" s="4">
        <v>3</v>
      </c>
      <c r="C106" s="4">
        <v>1</v>
      </c>
      <c r="D106" s="4">
        <v>4</v>
      </c>
    </row>
    <row r="107" spans="1:4" x14ac:dyDescent="0.3">
      <c r="A107" s="6">
        <v>71</v>
      </c>
      <c r="B107" s="4">
        <v>1</v>
      </c>
      <c r="C107" s="4"/>
      <c r="D107" s="4">
        <v>1</v>
      </c>
    </row>
    <row r="108" spans="1:4" x14ac:dyDescent="0.3">
      <c r="A108" s="6">
        <v>72</v>
      </c>
      <c r="B108" s="4"/>
      <c r="C108" s="4">
        <v>1</v>
      </c>
      <c r="D108" s="4">
        <v>1</v>
      </c>
    </row>
    <row r="109" spans="1:4" x14ac:dyDescent="0.3">
      <c r="A109" s="6">
        <v>73</v>
      </c>
      <c r="B109" s="4">
        <v>2</v>
      </c>
      <c r="C109" s="4">
        <v>2</v>
      </c>
      <c r="D109" s="4">
        <v>4</v>
      </c>
    </row>
    <row r="110" spans="1:4" x14ac:dyDescent="0.3">
      <c r="A110" s="6">
        <v>74</v>
      </c>
      <c r="B110" s="4"/>
      <c r="C110" s="4">
        <v>1</v>
      </c>
      <c r="D110" s="4">
        <v>1</v>
      </c>
    </row>
    <row r="111" spans="1:4" x14ac:dyDescent="0.3">
      <c r="A111" s="6">
        <v>78</v>
      </c>
      <c r="B111" s="4">
        <v>1</v>
      </c>
      <c r="C111" s="4">
        <v>1</v>
      </c>
      <c r="D111" s="4">
        <v>2</v>
      </c>
    </row>
    <row r="112" spans="1:4" x14ac:dyDescent="0.3">
      <c r="A112" s="6">
        <v>80</v>
      </c>
      <c r="B112" s="4">
        <v>1</v>
      </c>
      <c r="C112" s="4"/>
      <c r="D112" s="4">
        <v>1</v>
      </c>
    </row>
    <row r="113" spans="1:4" x14ac:dyDescent="0.3">
      <c r="A113" s="6">
        <v>89</v>
      </c>
      <c r="B113" s="4">
        <v>1</v>
      </c>
      <c r="C113" s="4"/>
      <c r="D113" s="4">
        <v>1</v>
      </c>
    </row>
    <row r="114" spans="1:4" x14ac:dyDescent="0.3">
      <c r="A114" s="6" t="s">
        <v>42</v>
      </c>
      <c r="B114" s="4">
        <v>519</v>
      </c>
      <c r="C114" s="4">
        <v>481</v>
      </c>
      <c r="D114" s="4">
        <v>1000</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0A79E-6CAD-4E04-A31D-79DDFEDAE630}">
  <dimension ref="A1:Q6"/>
  <sheetViews>
    <sheetView showGridLines="0" topLeftCell="A4" zoomScale="85" zoomScaleNormal="85" workbookViewId="0">
      <selection activeCell="U36" sqref="U36"/>
    </sheetView>
  </sheetViews>
  <sheetFormatPr defaultRowHeight="14.4" x14ac:dyDescent="0.3"/>
  <sheetData>
    <row r="1" spans="1:17" ht="14.4" customHeight="1" x14ac:dyDescent="0.3">
      <c r="A1" s="9" t="s">
        <v>49</v>
      </c>
      <c r="B1" s="9"/>
      <c r="C1" s="9"/>
      <c r="D1" s="9"/>
      <c r="E1" s="9"/>
      <c r="F1" s="9"/>
      <c r="G1" s="9"/>
      <c r="H1" s="9"/>
      <c r="I1" s="9"/>
      <c r="J1" s="9"/>
      <c r="K1" s="9"/>
      <c r="L1" s="9"/>
      <c r="M1" s="9"/>
      <c r="N1" s="9"/>
      <c r="O1" s="9"/>
      <c r="P1" s="7"/>
      <c r="Q1" s="7"/>
    </row>
    <row r="2" spans="1:17" x14ac:dyDescent="0.3">
      <c r="A2" s="9"/>
      <c r="B2" s="9"/>
      <c r="C2" s="9"/>
      <c r="D2" s="9"/>
      <c r="E2" s="9"/>
      <c r="F2" s="9"/>
      <c r="G2" s="9"/>
      <c r="H2" s="9"/>
      <c r="I2" s="9"/>
      <c r="J2" s="9"/>
      <c r="K2" s="9"/>
      <c r="L2" s="9"/>
      <c r="M2" s="9"/>
      <c r="N2" s="9"/>
      <c r="O2" s="9"/>
      <c r="P2" s="7"/>
      <c r="Q2" s="7"/>
    </row>
    <row r="3" spans="1:17" x14ac:dyDescent="0.3">
      <c r="A3" s="9"/>
      <c r="B3" s="9"/>
      <c r="C3" s="9"/>
      <c r="D3" s="9"/>
      <c r="E3" s="9"/>
      <c r="F3" s="9"/>
      <c r="G3" s="9"/>
      <c r="H3" s="9"/>
      <c r="I3" s="9"/>
      <c r="J3" s="9"/>
      <c r="K3" s="9"/>
      <c r="L3" s="9"/>
      <c r="M3" s="9"/>
      <c r="N3" s="9"/>
      <c r="O3" s="9"/>
      <c r="P3" s="7"/>
      <c r="Q3" s="7"/>
    </row>
    <row r="4" spans="1:17" x14ac:dyDescent="0.3">
      <c r="A4" s="9"/>
      <c r="B4" s="9"/>
      <c r="C4" s="9"/>
      <c r="D4" s="9"/>
      <c r="E4" s="9"/>
      <c r="F4" s="9"/>
      <c r="G4" s="9"/>
      <c r="H4" s="9"/>
      <c r="I4" s="9"/>
      <c r="J4" s="9"/>
      <c r="K4" s="9"/>
      <c r="L4" s="9"/>
      <c r="M4" s="9"/>
      <c r="N4" s="9"/>
      <c r="O4" s="9"/>
      <c r="P4" s="7"/>
      <c r="Q4" s="7"/>
    </row>
    <row r="5" spans="1:17" x14ac:dyDescent="0.3">
      <c r="A5" s="9"/>
      <c r="B5" s="9"/>
      <c r="C5" s="9"/>
      <c r="D5" s="9"/>
      <c r="E5" s="9"/>
      <c r="F5" s="9"/>
      <c r="G5" s="9"/>
      <c r="H5" s="9"/>
      <c r="I5" s="9"/>
      <c r="J5" s="9"/>
      <c r="K5" s="9"/>
      <c r="L5" s="9"/>
      <c r="M5" s="9"/>
      <c r="N5" s="9"/>
      <c r="O5" s="9"/>
      <c r="P5" s="7"/>
      <c r="Q5" s="7"/>
    </row>
    <row r="6" spans="1:17" x14ac:dyDescent="0.3">
      <c r="A6" s="9"/>
      <c r="B6" s="9"/>
      <c r="C6" s="9"/>
      <c r="D6" s="9"/>
      <c r="E6" s="9"/>
      <c r="F6" s="9"/>
      <c r="G6" s="9"/>
      <c r="H6" s="9"/>
      <c r="I6" s="9"/>
      <c r="J6" s="9"/>
      <c r="K6" s="9"/>
      <c r="L6" s="9"/>
      <c r="M6" s="9"/>
      <c r="N6" s="9"/>
      <c r="O6" s="9"/>
      <c r="P6" s="7"/>
      <c r="Q6" s="7"/>
    </row>
  </sheetData>
  <mergeCells count="1">
    <mergeCell ref="A1:O6"/>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Data</vt: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 5</dc:creator>
  <cp:lastModifiedBy>athiralirahman</cp:lastModifiedBy>
  <dcterms:created xsi:type="dcterms:W3CDTF">2022-03-18T02:50:57Z</dcterms:created>
  <dcterms:modified xsi:type="dcterms:W3CDTF">2026-05-03T16:06:33Z</dcterms:modified>
</cp:coreProperties>
</file>